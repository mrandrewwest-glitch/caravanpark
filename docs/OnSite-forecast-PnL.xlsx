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P&amp;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<sst xmlns="http://schemas.openxmlformats.org/spreadsheetml/2006/main" count="113" uniqueCount="106">
  <si>
    <t xml:space="preserve">OnSite - forecast assumptions (blue = editable inputs). All amounts AUD, excluding GST.</t>
  </si>
  <si>
    <t xml:space="preserve">REVENUE (per park, AUD, ex GST)</t>
  </si>
  <si>
    <t xml:space="preserve">Monthly fee</t>
  </si>
  <si>
    <t xml:space="preserve">docs/MODES-AND-PAYMENTS.md; parks.js billing</t>
  </si>
  <si>
    <t xml:space="preserve">Fee per answered call</t>
  </si>
  <si>
    <t xml:space="preserve">same</t>
  </si>
  <si>
    <t xml:space="preserve">Answered (billable) calls per park per week</t>
  </si>
  <si>
    <t xml:space="preserve">Your assumption</t>
  </si>
  <si>
    <t xml:space="preserve">Weeks per month</t>
  </si>
  <si>
    <t xml:space="preserve">52 weeks / 12</t>
  </si>
  <si>
    <t xml:space="preserve">VARIABLE COST PER ANSWERED CALL</t>
  </si>
  <si>
    <t xml:space="preserve">Twilio voice (inbound + ConversationRelay, ~2 min call)</t>
  </si>
  <si>
    <t xml:space="preserve">docs/TWILIO.md rates: A$0.01 + A$0.07 per min</t>
  </si>
  <si>
    <t xml:space="preserve">Staff-transfer leg (avg)</t>
  </si>
  <si>
    <t xml:space="preserve">~10% of calls x ~1 min x A$0.075</t>
  </si>
  <si>
    <t xml:space="preserve">Claude (extraction + replies)</t>
  </si>
  <si>
    <t xml:space="preserve">ASSUMED - measure in pilot</t>
  </si>
  <si>
    <t xml:space="preserve">SMS (summary, pay link, confirmation, reminders)</t>
  </si>
  <si>
    <t xml:space="preserve">ASSUMED ~2 texts x A$0.10</t>
  </si>
  <si>
    <t xml:space="preserve">Non-billable calls overhead (spam/abandoned)</t>
  </si>
  <si>
    <t xml:space="preserve">ASSUMED</t>
  </si>
  <si>
    <t xml:space="preserve">PER-PARK MONTHLY COSTS</t>
  </si>
  <si>
    <t xml:space="preserve">Twilio numbers (voice + SMS)</t>
  </si>
  <si>
    <t xml:space="preserve">A$3/month each (docs/TWILIO.md)</t>
  </si>
  <si>
    <t xml:space="preserve">Support tools &amp; helpdesk software (per park)</t>
  </si>
  <si>
    <t xml:space="preserve">ASSUMED; support labour is now the hires below</t>
  </si>
  <si>
    <t xml:space="preserve">Hosting variable (per park)</t>
  </si>
  <si>
    <t xml:space="preserve">ONE-OFF / FIXED</t>
  </si>
  <si>
    <t xml:space="preserve">Sales cost per new park (non-labour)</t>
  </si>
  <si>
    <t xml:space="preserve">ASSUMED travel, events, demo costs; founder does the selling (in salary)</t>
  </si>
  <si>
    <t xml:space="preserve">Onboarding cost per new park (non-labour)</t>
  </si>
  <si>
    <t xml:space="preserve">ASSUMED test calls/SMS; labour is the tech support hire</t>
  </si>
  <si>
    <t xml:space="preserve">Technical support hire: monthly cost (fully loaded)</t>
  </si>
  <si>
    <t xml:space="preserve">ASSUMED ~A$80k salary + super and on-costs</t>
  </si>
  <si>
    <t xml:space="preserve">First hire starts in month</t>
  </si>
  <si>
    <t xml:space="preserve">Second hire when parks at start of month reach</t>
  </si>
  <si>
    <t xml:space="preserve">Hosting base (always-on container, DB, logs)</t>
  </si>
  <si>
    <t xml:space="preserve">Marketing fixed (website, ads)</t>
  </si>
  <si>
    <t xml:space="preserve">Insurance, accounting, legal, software</t>
  </si>
  <si>
    <t xml:space="preserve">Founder salary (fully loaded)</t>
  </si>
  <si>
    <t xml:space="preserve">ASSUMED - set to 0 to see cash profit</t>
  </si>
  <si>
    <t xml:space="preserve">Company tax rate</t>
  </si>
  <si>
    <t xml:space="preserve">Base-rate entity; losses carried forward</t>
  </si>
  <si>
    <t xml:space="preserve">Calls per park per month</t>
  </si>
  <si>
    <t xml:space="preserve">New parks signed per month (growth plan)</t>
  </si>
  <si>
    <t xml:space="preserve">Month</t>
  </si>
  <si>
    <t xml:space="preserve">New parks</t>
  </si>
  <si>
    <t xml:space="preserve">Monthly churn (% of parks at start of month)</t>
  </si>
  <si>
    <t xml:space="preserve">OnSite - 24-month forecast profit &amp; loss (AUD, ex GST)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</si>
  <si>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</si>
  <si>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</si>
  <si>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</si>
  <si>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</si>
  <si>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</si>
  <si>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</si>
  <si>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</si>
  <si>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</si>
  <si>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</si>
  <si>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</si>
  <si>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</si>
  <si>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</si>
  <si>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</si>
  <si>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</si>
  <si>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</si>
  <si>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</si>
  <si>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</si>
  <si>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</si>
  <si>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</si>
  <si>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</si>
  <si>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</si>
  <si>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</si>
  <si>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</si>
  <si>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</si>
  <si>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Year 1</t>
  </si>
  <si>
    <t xml:space="preserve">Year 2</t>
  </si>
  <si>
    <t xml:space="preserve">New parks signed</t>
  </si>
  <si>
    <t xml:space="preserve">Parks churned</t>
  </si>
  <si>
    <t xml:space="preserve">Parks at start</t>
  </si>
  <si>
    <t xml:space="preserve">Parks at end</t>
  </si>
  <si>
    <t xml:space="preserve">Average billed parks</t>
  </si>
  <si>
    <t xml:space="preserve">Answered calls</t>
  </si>
  <si>
    <t xml:space="preserve">REVENUE</t>
  </si>
  <si>
    <t xml:space="preserve">Monthly fees</t>
  </si>
  <si>
    <t xml:space="preserve">Per-call fees</t>
  </si>
  <si>
    <t xml:space="preserve">Total revenue</t>
  </si>
  <si>
    <t xml:space="preserve">COST OF SERVICE</t>
  </si>
  <si>
    <t xml:space="preserve">Voice, Claude &amp; SMS (per call)</t>
  </si>
  <si>
    <t xml:space="preserve">Twilio numbers</t>
  </si>
  <si>
    <t xml:space="preserve">Hosting (variable)</t>
  </si>
  <si>
    <t xml:space="preserve">Total cost of service</t>
  </si>
  <si>
    <t xml:space="preserve">Gross profit</t>
  </si>
  <si>
    <t xml:space="preserve">Gross margin %</t>
  </si>
  <si>
    <t xml:space="preserve">OPERATING EXPENSES</t>
  </si>
  <si>
    <t xml:space="preserve">Sales &amp; onboarding (non-labour)</t>
  </si>
  <si>
    <t xml:space="preserve">Support tools &amp; helpdesk</t>
  </si>
  <si>
    <t xml:space="preserve">Technical support staff (count)</t>
  </si>
  <si>
    <t xml:space="preserve">Technical support salaries</t>
  </si>
  <si>
    <t xml:space="preserve">Hosting base</t>
  </si>
  <si>
    <t xml:space="preserve">Marketing</t>
  </si>
  <si>
    <t xml:space="preserve">Insurance, accounting, legal</t>
  </si>
  <si>
    <t xml:space="preserve">Founder salary</t>
  </si>
  <si>
    <t xml:space="preserve">Total operating expenses</t>
  </si>
  <si>
    <t xml:space="preserve">EBITDA / profit before tax</t>
  </si>
  <si>
    <t xml:space="preserve">Income tax</t>
  </si>
  <si>
    <t xml:space="preserve">Net profit</t>
  </si>
  <si>
    <t xml:space="preserve">Cumulative net profit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</si>
</sst>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;\(#,##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n">
        <v>100</v>
      </c>
      <c r="C4" s="4" t="s">
        <v>3</v>
      </c>
    </row>
    <row r="5" customFormat="false" ht="15" hidden="false" customHeight="false" outlineLevel="0" collapsed="false">
      <c r="A5" s="0" t="s">
        <v>4</v>
      </c>
      <c r="B5" s="3" t="n">
        <v>3</v>
      </c>
      <c r="C5" s="4" t="s">
        <v>5</v>
      </c>
    </row>
    <row r="6" customFormat="false" ht="15" hidden="false" customHeight="false" outlineLevel="0" collapsed="false">
      <c r="A6" s="0" t="s">
        <v>6</v>
      </c>
      <c r="B6" s="3" t="n">
        <v>15</v>
      </c>
      <c r="C6" s="4" t="s">
        <v>7</v>
      </c>
    </row>
    <row r="7" customFormat="false" ht="15" hidden="false" customHeight="false" outlineLevel="0" collapsed="false">
      <c r="A7" s="0" t="s">
        <v>8</v>
      </c>
      <c r="B7" s="3" t="n">
        <v>4.33333333333333</v>
      </c>
      <c r="C7" s="4" t="s">
        <v>9</v>
      </c>
    </row>
    <row r="8" customFormat="false" ht="15" hidden="false" customHeight="false" outlineLevel="0" collapsed="false">
      <c r="A8" s="2" t="s">
        <v>10</v>
      </c>
    </row>
    <row r="9" customFormat="false" ht="15" hidden="false" customHeight="false" outlineLevel="0" collapsed="false">
      <c r="A9" s="0" t="s">
        <v>11</v>
      </c>
      <c r="B9" s="3" t="n">
        <v>0.16</v>
      </c>
      <c r="C9" s="4" t="s">
        <v>12</v>
      </c>
    </row>
    <row r="10" customFormat="false" ht="15" hidden="false" customHeight="false" outlineLevel="0" collapsed="false">
      <c r="A10" s="0" t="s">
        <v>13</v>
      </c>
      <c r="B10" s="3" t="n">
        <v>0.01</v>
      </c>
      <c r="C10" s="4" t="s">
        <v>14</v>
      </c>
    </row>
    <row r="11" customFormat="false" ht="15" hidden="false" customHeight="false" outlineLevel="0" collapsed="false">
      <c r="A11" s="0" t="s">
        <v>15</v>
      </c>
      <c r="B11" s="3" t="n">
        <v>0.2</v>
      </c>
      <c r="C11" s="4" t="s">
        <v>16</v>
      </c>
    </row>
    <row r="12" customFormat="false" ht="15" hidden="false" customHeight="false" outlineLevel="0" collapsed="false">
      <c r="A12" s="0" t="s">
        <v>17</v>
      </c>
      <c r="B12" s="3" t="n">
        <v>0.2</v>
      </c>
      <c r="C12" s="4" t="s">
        <v>18</v>
      </c>
    </row>
    <row r="13" customFormat="false" ht="15" hidden="false" customHeight="false" outlineLevel="0" collapsed="false">
      <c r="A13" s="0" t="s">
        <v>19</v>
      </c>
      <c r="B13" s="3" t="n">
        <v>0.03</v>
      </c>
      <c r="C13" s="4" t="s">
        <v>20</v>
      </c>
    </row>
    <row r="14" customFormat="false" ht="15" hidden="false" customHeight="false" outlineLevel="0" collapsed="false">
      <c r="A14" s="2" t="s">
        <v>21</v>
      </c>
    </row>
    <row r="15" customFormat="false" ht="15" hidden="false" customHeight="false" outlineLevel="0" collapsed="false">
      <c r="A15" s="0" t="s">
        <v>22</v>
      </c>
      <c r="B15" s="3" t="n">
        <v>6</v>
      </c>
      <c r="C15" s="4" t="s">
        <v>23</v>
      </c>
    </row>
    <row r="16" customFormat="false" ht="15" hidden="false" customHeight="false" outlineLevel="0" collapsed="false">
      <c r="A16" s="0" t="s">
        <v>24</v>
      </c>
      <c r="B16" s="3" t="n">
        <v>5</v>
      </c>
      <c r="C16" s="4" t="s">
        <v>25</v>
      </c>
    </row>
    <row r="17" customFormat="false" ht="15" hidden="false" customHeight="false" outlineLevel="0" collapsed="false">
      <c r="A17" s="0" t="s">
        <v>26</v>
      </c>
      <c r="B17" s="3" t="n">
        <v>1</v>
      </c>
      <c r="C17" s="4" t="s">
        <v>20</v>
      </c>
    </row>
    <row r="18" customFormat="false" ht="15" hidden="false" customHeight="false" outlineLevel="0" collapsed="false">
      <c r="A18" s="2" t="s">
        <v>27</v>
      </c>
    </row>
    <row r="19" customFormat="false" ht="15" hidden="false" customHeight="false" outlineLevel="0" collapsed="false">
      <c r="A19" s="0" t="s">
        <v>28</v>
      </c>
      <c r="B19" s="3" t="n">
        <v>150</v>
      </c>
      <c r="C19" s="4" t="s">
        <v>29</v>
      </c>
    </row>
    <row r="20" customFormat="false" ht="15" hidden="false" customHeight="false" outlineLevel="0" collapsed="false">
      <c r="A20" s="0" t="s">
        <v>30</v>
      </c>
      <c r="B20" s="3" t="n">
        <v>50</v>
      </c>
      <c r="C20" s="4" t="s">
        <v>31</v>
      </c>
    </row>
    <row r="21" customFormat="false" ht="15" hidden="false" customHeight="false" outlineLevel="0" collapsed="false">
      <c r="A21" s="0" t="s">
        <v>32</v>
      </c>
      <c r="B21" s="3" t="n">
        <v>9000</v>
      </c>
      <c r="C21" s="4" t="s">
        <v>33</v>
      </c>
    </row>
    <row r="22" customFormat="false" ht="15" hidden="false" customHeight="false" outlineLevel="0" collapsed="false">
      <c r="A22" s="0" t="s">
        <v>34</v>
      </c>
      <c r="B22" s="3" t="n">
        <v>9</v>
      </c>
      <c r="C22" s="4" t="s">
        <v>20</v>
      </c>
    </row>
    <row r="23" customFormat="false" ht="15" hidden="false" customHeight="false" outlineLevel="0" collapsed="false">
      <c r="A23" s="0" t="s">
        <v>35</v>
      </c>
      <c r="B23" s="3" t="n">
        <v>400</v>
      </c>
      <c r="C23" s="4" t="s">
        <v>20</v>
      </c>
    </row>
    <row r="24" customFormat="false" ht="15" hidden="false" customHeight="false" outlineLevel="0" collapsed="false">
      <c r="A24" s="0" t="s">
        <v>36</v>
      </c>
      <c r="B24" s="3" t="n">
        <v>150</v>
      </c>
      <c r="C24" s="4" t="s">
        <v>20</v>
      </c>
    </row>
    <row r="25" customFormat="false" ht="15" hidden="false" customHeight="false" outlineLevel="0" collapsed="false">
      <c r="A25" s="0" t="s">
        <v>37</v>
      </c>
      <c r="B25" s="3" t="n">
        <v>500</v>
      </c>
      <c r="C25" s="4" t="s">
        <v>20</v>
      </c>
    </row>
    <row r="26" customFormat="false" ht="15" hidden="false" customHeight="false" outlineLevel="0" collapsed="false">
      <c r="A26" s="0" t="s">
        <v>38</v>
      </c>
      <c r="B26" s="3" t="n">
        <v>1200</v>
      </c>
      <c r="C26" s="4" t="s">
        <v>20</v>
      </c>
    </row>
    <row r="27" customFormat="false" ht="15" hidden="false" customHeight="false" outlineLevel="0" collapsed="false">
      <c r="A27" s="0" t="s">
        <v>39</v>
      </c>
      <c r="B27" s="3" t="n">
        <v>7500</v>
      </c>
      <c r="C27" s="4" t="s">
        <v>40</v>
      </c>
    </row>
    <row r="28" customFormat="false" ht="15" hidden="false" customHeight="false" outlineLevel="0" collapsed="false">
      <c r="A28" s="0" t="s">
        <v>41</v>
      </c>
      <c r="B28" s="3" t="n">
        <v>0.25</v>
      </c>
      <c r="C28" s="4" t="s">
        <v>42</v>
      </c>
    </row>
    <row r="30" customFormat="false" ht="15" hidden="false" customHeight="false" outlineLevel="0" collapsed="false">
      <c r="A30" s="0" t="s">
        <v>43</v>
      </c>
      <c r="B30" s="0" t="n">
        <f aca="false">$B$6*$B$7</f>
        <v>65</v>
      </c>
    </row>
    <row r="32" customFormat="false" ht="15" hidden="false" customHeight="false" outlineLevel="0" collapsed="false">
      <c r="A32" s="1" t="s">
        <v>44</v>
      </c>
    </row>
    <row r="33" customFormat="false" ht="15" hidden="false" customHeight="false" outlineLevel="0" collapsed="false">
      <c r="A33" s="0" t="s">
        <v>45</v>
      </c>
      <c r="B33" s="0" t="n">
        <v>1</v>
      </c>
      <c r="C33" s="0" t="n">
        <v>2</v>
      </c>
      <c r="D33" s="0" t="n">
        <v>3</v>
      </c>
      <c r="E33" s="0" t="n">
        <v>4</v>
      </c>
      <c r="F33" s="0" t="n">
        <v>5</v>
      </c>
      <c r="G33" s="0" t="n">
        <v>6</v>
      </c>
      <c r="H33" s="0" t="n">
        <v>7</v>
      </c>
      <c r="I33" s="0" t="n">
        <v>8</v>
      </c>
      <c r="J33" s="0" t="n">
        <v>9</v>
      </c>
      <c r="K33" s="0" t="n">
        <v>10</v>
      </c>
      <c r="L33" s="0" t="n">
        <v>11</v>
      </c>
      <c r="M33" s="0" t="n">
        <v>12</v>
      </c>
      <c r="N33" s="0" t="n">
        <v>13</v>
      </c>
      <c r="O33" s="0" t="n">
        <v>14</v>
      </c>
      <c r="P33" s="0" t="n">
        <v>15</v>
      </c>
      <c r="Q33" s="0" t="n">
        <v>16</v>
      </c>
      <c r="R33" s="0" t="n">
        <v>17</v>
      </c>
      <c r="S33" s="0" t="n">
        <v>18</v>
      </c>
      <c r="T33" s="0" t="n">
        <v>19</v>
      </c>
      <c r="U33" s="0" t="n">
        <v>20</v>
      </c>
      <c r="V33" s="0" t="n">
        <v>21</v>
      </c>
      <c r="W33" s="0" t="n">
        <v>22</v>
      </c>
      <c r="X33" s="0" t="n">
        <v>23</v>
      </c>
      <c r="Y33" s="0" t="n">
        <v>24</v>
      </c>
    </row>
    <row r="34" customFormat="false" ht="15" hidden="false" customHeight="false" outlineLevel="0" collapsed="false">
      <c r="A34" s="0" t="s">
        <v>46</v>
      </c>
      <c r="B34" s="3" t="n">
        <v>2</v>
      </c>
      <c r="C34" s="3" t="n">
        <v>2</v>
      </c>
      <c r="D34" s="3" t="n">
        <v>2</v>
      </c>
      <c r="E34" s="3" t="n">
        <v>2</v>
      </c>
      <c r="F34" s="3" t="n">
        <v>2</v>
      </c>
      <c r="G34" s="3" t="n">
        <v>2</v>
      </c>
      <c r="H34" s="3" t="n">
        <v>12</v>
      </c>
      <c r="I34" s="3" t="n">
        <v>18</v>
      </c>
      <c r="J34" s="3" t="n">
        <v>26</v>
      </c>
      <c r="K34" s="3" t="n">
        <v>34</v>
      </c>
      <c r="L34" s="3" t="n">
        <v>42</v>
      </c>
      <c r="M34" s="3" t="n">
        <v>56</v>
      </c>
      <c r="N34" s="3" t="n">
        <v>30</v>
      </c>
      <c r="O34" s="3" t="n">
        <v>30</v>
      </c>
      <c r="P34" s="3" t="n">
        <v>30</v>
      </c>
      <c r="Q34" s="3" t="n">
        <v>30</v>
      </c>
      <c r="R34" s="3" t="n">
        <v>30</v>
      </c>
      <c r="S34" s="3" t="n">
        <v>30</v>
      </c>
      <c r="T34" s="3" t="n">
        <v>30</v>
      </c>
      <c r="U34" s="3" t="n">
        <v>30</v>
      </c>
      <c r="V34" s="3" t="n">
        <v>30</v>
      </c>
      <c r="W34" s="3" t="n">
        <v>30</v>
      </c>
      <c r="X34" s="3" t="n">
        <v>30</v>
      </c>
      <c r="Y34" s="3" t="n">
        <v>30</v>
      </c>
    </row>
    <row r="35" customFormat="false" ht="15" hidden="false" customHeight="false" outlineLevel="0" collapsed="false">
      <c r="A35" s="0" t="s">
        <v>47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0.01</v>
      </c>
      <c r="O35" s="5" t="n">
        <v>0.01</v>
      </c>
      <c r="P35" s="5" t="n">
        <v>0.01</v>
      </c>
      <c r="Q35" s="5" t="n">
        <v>0.01</v>
      </c>
      <c r="R35" s="5" t="n">
        <v>0.01</v>
      </c>
      <c r="S35" s="5" t="n">
        <v>0.01</v>
      </c>
      <c r="T35" s="5" t="n">
        <v>0.01</v>
      </c>
      <c r="U35" s="5" t="n">
        <v>0.01</v>
      </c>
      <c r="V35" s="5" t="n">
        <v>0.01</v>
      </c>
      <c r="W35" s="5" t="n">
        <v>0.01</v>
      </c>
      <c r="X35" s="5" t="n">
        <v>0.01</v>
      </c>
      <c r="Y35" s="5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7" min="2" style="0" width="11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0" t="s">
        <v>45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</row>
    <row r="3" customFormat="false" ht="15" hidden="false" customHeight="false" outlineLevel="0" collapsed="false">
      <c r="A3" s="0" t="s">
        <v>75</v>
      </c>
      <c r="B3" s="6" t="n">
        <f aca="false">Assumptions!B34</f>
        <v>2</v>
      </c>
      <c r="C3" s="6" t="n">
        <f aca="false">Assumptions!C34</f>
        <v>2</v>
      </c>
      <c r="D3" s="6" t="n">
        <f aca="false">Assumptions!D34</f>
        <v>2</v>
      </c>
      <c r="E3" s="6" t="n">
        <f aca="false">Assumptions!E34</f>
        <v>2</v>
      </c>
      <c r="F3" s="6" t="n">
        <f aca="false">Assumptions!F34</f>
        <v>2</v>
      </c>
      <c r="G3" s="6" t="n">
        <f aca="false">Assumptions!G34</f>
        <v>2</v>
      </c>
      <c r="H3" s="6" t="n">
        <f aca="false">Assumptions!H34</f>
        <v>12</v>
      </c>
      <c r="I3" s="6" t="n">
        <f aca="false">Assumptions!I34</f>
        <v>18</v>
      </c>
      <c r="J3" s="6" t="n">
        <f aca="false">Assumptions!J34</f>
        <v>26</v>
      </c>
      <c r="K3" s="6" t="n">
        <f aca="false">Assumptions!K34</f>
        <v>34</v>
      </c>
      <c r="L3" s="6" t="n">
        <f aca="false">Assumptions!L34</f>
        <v>42</v>
      </c>
      <c r="M3" s="6" t="n">
        <f aca="false">Assumptions!M34</f>
        <v>56</v>
      </c>
      <c r="N3" s="6" t="n">
        <f aca="false">Assumptions!N34</f>
        <v>30</v>
      </c>
      <c r="O3" s="6" t="n">
        <f aca="false">Assumptions!O34</f>
        <v>30</v>
      </c>
      <c r="P3" s="6" t="n">
        <f aca="false">Assumptions!P34</f>
        <v>30</v>
      </c>
      <c r="Q3" s="6" t="n">
        <f aca="false">Assumptions!Q34</f>
        <v>30</v>
      </c>
      <c r="R3" s="6" t="n">
        <f aca="false">Assumptions!R34</f>
        <v>30</v>
      </c>
      <c r="S3" s="6" t="n">
        <f aca="false">Assumptions!S34</f>
        <v>30</v>
      </c>
      <c r="T3" s="6" t="n">
        <f aca="false">Assumptions!T34</f>
        <v>30</v>
      </c>
      <c r="U3" s="6" t="n">
        <f aca="false">Assumptions!U34</f>
        <v>30</v>
      </c>
      <c r="V3" s="6" t="n">
        <f aca="false">Assumptions!V34</f>
        <v>30</v>
      </c>
      <c r="W3" s="6" t="n">
        <f aca="false">Assumptions!W34</f>
        <v>30</v>
      </c>
      <c r="X3" s="6" t="n">
        <f aca="false">Assumptions!X34</f>
        <v>30</v>
      </c>
      <c r="Y3" s="6" t="n">
        <f aca="false">Assumptions!Y34</f>
        <v>30</v>
      </c>
      <c r="Z3" s="6" t="n">
        <f aca="false">SUM(B3:M3)</f>
        <v>200</v>
      </c>
      <c r="AA3" s="6" t="n">
        <f aca="false">SUM(N3:Y3)</f>
        <v>360</v>
      </c>
    </row>
    <row r="4" customFormat="false" ht="15" hidden="false" customHeight="false" outlineLevel="0" collapsed="false">
      <c r="A4" s="0" t="s">
        <v>76</v>
      </c>
      <c r="B4" s="6" t="n">
        <f aca="false">B5*Assumptions!B35</f>
        <v>0</v>
      </c>
      <c r="C4" s="6" t="n">
        <f aca="false">C5*Assumptions!C35</f>
        <v>0</v>
      </c>
      <c r="D4" s="6" t="n">
        <f aca="false">D5*Assumptions!D35</f>
        <v>0</v>
      </c>
      <c r="E4" s="6" t="n">
        <f aca="false">E5*Assumptions!E35</f>
        <v>0</v>
      </c>
      <c r="F4" s="6" t="n">
        <f aca="false">F5*Assumptions!F35</f>
        <v>0</v>
      </c>
      <c r="G4" s="6" t="n">
        <f aca="false">G5*Assumptions!G35</f>
        <v>0</v>
      </c>
      <c r="H4" s="6" t="n">
        <f aca="false">H5*Assumptions!H35</f>
        <v>0</v>
      </c>
      <c r="I4" s="6" t="n">
        <f aca="false">I5*Assumptions!I35</f>
        <v>0</v>
      </c>
      <c r="J4" s="6" t="n">
        <f aca="false">J5*Assumptions!J35</f>
        <v>0</v>
      </c>
      <c r="K4" s="6" t="n">
        <f aca="false">K5*Assumptions!K35</f>
        <v>0</v>
      </c>
      <c r="L4" s="6" t="n">
        <f aca="false">L5*Assumptions!L35</f>
        <v>0</v>
      </c>
      <c r="M4" s="6" t="n">
        <f aca="false">M5*Assumptions!M35</f>
        <v>0</v>
      </c>
      <c r="N4" s="6" t="n">
        <f aca="false">N5*Assumptions!N35</f>
        <v>2</v>
      </c>
      <c r="O4" s="6" t="n">
        <f aca="false">O5*Assumptions!O35</f>
        <v>2.28</v>
      </c>
      <c r="P4" s="6" t="n">
        <f aca="false">P5*Assumptions!P35</f>
        <v>2.5572</v>
      </c>
      <c r="Q4" s="6" t="n">
        <f aca="false">Q5*Assumptions!Q35</f>
        <v>2.831628</v>
      </c>
      <c r="R4" s="6" t="n">
        <f aca="false">R5*Assumptions!R35</f>
        <v>3.10331172</v>
      </c>
      <c r="S4" s="6" t="n">
        <f aca="false">S5*Assumptions!S35</f>
        <v>3.3722786028</v>
      </c>
      <c r="T4" s="6" t="n">
        <f aca="false">T5*Assumptions!T35</f>
        <v>3.638555816772</v>
      </c>
      <c r="U4" s="6" t="n">
        <f aca="false">U5*Assumptions!U35</f>
        <v>3.90217025860428</v>
      </c>
      <c r="V4" s="6" t="n">
        <f aca="false">V5*Assumptions!V35</f>
        <v>4.16314855601824</v>
      </c>
      <c r="W4" s="6" t="n">
        <f aca="false">W5*Assumptions!W35</f>
        <v>4.42151707045805</v>
      </c>
      <c r="X4" s="6" t="n">
        <f aca="false">X5*Assumptions!X35</f>
        <v>4.67730189975347</v>
      </c>
      <c r="Y4" s="6" t="n">
        <f aca="false">Y5*Assumptions!Y35</f>
        <v>4.93052888075594</v>
      </c>
      <c r="Z4" s="6" t="n">
        <f aca="false">SUM(B4:M4)</f>
        <v>0</v>
      </c>
      <c r="AA4" s="6" t="n">
        <f aca="false">SUM(N4:Y4)</f>
        <v>41.877640805162</v>
      </c>
    </row>
    <row r="5" customFormat="false" ht="15" hidden="false" customHeight="false" outlineLevel="0" collapsed="false">
      <c r="A5" s="0" t="s">
        <v>77</v>
      </c>
      <c r="B5" s="6" t="n">
        <v>0</v>
      </c>
      <c r="C5" s="6" t="n">
        <f aca="false">B6</f>
        <v>2</v>
      </c>
      <c r="D5" s="6" t="n">
        <f aca="false">C6</f>
        <v>4</v>
      </c>
      <c r="E5" s="6" t="n">
        <f aca="false">D6</f>
        <v>6</v>
      </c>
      <c r="F5" s="6" t="n">
        <f aca="false">E6</f>
        <v>8</v>
      </c>
      <c r="G5" s="6" t="n">
        <f aca="false">F6</f>
        <v>10</v>
      </c>
      <c r="H5" s="6" t="n">
        <f aca="false">G6</f>
        <v>12</v>
      </c>
      <c r="I5" s="6" t="n">
        <f aca="false">H6</f>
        <v>24</v>
      </c>
      <c r="J5" s="6" t="n">
        <f aca="false">I6</f>
        <v>42</v>
      </c>
      <c r="K5" s="6" t="n">
        <f aca="false">J6</f>
        <v>68</v>
      </c>
      <c r="L5" s="6" t="n">
        <f aca="false">K6</f>
        <v>102</v>
      </c>
      <c r="M5" s="6" t="n">
        <f aca="false">L6</f>
        <v>144</v>
      </c>
      <c r="N5" s="6" t="n">
        <f aca="false">M6</f>
        <v>200</v>
      </c>
      <c r="O5" s="6" t="n">
        <f aca="false">N6</f>
        <v>228</v>
      </c>
      <c r="P5" s="6" t="n">
        <f aca="false">O6</f>
        <v>255.72</v>
      </c>
      <c r="Q5" s="6" t="n">
        <f aca="false">P6</f>
        <v>283.1628</v>
      </c>
      <c r="R5" s="6" t="n">
        <f aca="false">Q6</f>
        <v>310.331172</v>
      </c>
      <c r="S5" s="6" t="n">
        <f aca="false">R6</f>
        <v>337.22786028</v>
      </c>
      <c r="T5" s="6" t="n">
        <f aca="false">S6</f>
        <v>363.8555816772</v>
      </c>
      <c r="U5" s="6" t="n">
        <f aca="false">T6</f>
        <v>390.217025860428</v>
      </c>
      <c r="V5" s="6" t="n">
        <f aca="false">U6</f>
        <v>416.314855601824</v>
      </c>
      <c r="W5" s="6" t="n">
        <f aca="false">V6</f>
        <v>442.151707045805</v>
      </c>
      <c r="X5" s="6" t="n">
        <f aca="false">W6</f>
        <v>467.730189975347</v>
      </c>
      <c r="Y5" s="6" t="n">
        <f aca="false">X6</f>
        <v>493.052888075594</v>
      </c>
      <c r="Z5" s="6" t="n">
        <f aca="false">B5</f>
        <v>0</v>
      </c>
      <c r="AA5" s="6" t="n">
        <f aca="false">N5</f>
        <v>200</v>
      </c>
    </row>
    <row r="6" customFormat="false" ht="15" hidden="false" customHeight="false" outlineLevel="0" collapsed="false">
      <c r="A6" s="0" t="s">
        <v>78</v>
      </c>
      <c r="B6" s="6" t="n">
        <f aca="false">B5+B3-B4</f>
        <v>2</v>
      </c>
      <c r="C6" s="6" t="n">
        <f aca="false">C5+C3-C4</f>
        <v>4</v>
      </c>
      <c r="D6" s="6" t="n">
        <f aca="false">D5+D3-D4</f>
        <v>6</v>
      </c>
      <c r="E6" s="6" t="n">
        <f aca="false">E5+E3-E4</f>
        <v>8</v>
      </c>
      <c r="F6" s="6" t="n">
        <f aca="false">F5+F3-F4</f>
        <v>10</v>
      </c>
      <c r="G6" s="6" t="n">
        <f aca="false">G5+G3-G4</f>
        <v>12</v>
      </c>
      <c r="H6" s="6" t="n">
        <f aca="false">H5+H3-H4</f>
        <v>24</v>
      </c>
      <c r="I6" s="6" t="n">
        <f aca="false">I5+I3-I4</f>
        <v>42</v>
      </c>
      <c r="J6" s="6" t="n">
        <f aca="false">J5+J3-J4</f>
        <v>68</v>
      </c>
      <c r="K6" s="6" t="n">
        <f aca="false">K5+K3-K4</f>
        <v>102</v>
      </c>
      <c r="L6" s="6" t="n">
        <f aca="false">L5+L3-L4</f>
        <v>144</v>
      </c>
      <c r="M6" s="6" t="n">
        <f aca="false">M5+M3-M4</f>
        <v>200</v>
      </c>
      <c r="N6" s="6" t="n">
        <f aca="false">N5+N3-N4</f>
        <v>228</v>
      </c>
      <c r="O6" s="6" t="n">
        <f aca="false">O5+O3-O4</f>
        <v>255.72</v>
      </c>
      <c r="P6" s="6" t="n">
        <f aca="false">P5+P3-P4</f>
        <v>283.1628</v>
      </c>
      <c r="Q6" s="6" t="n">
        <f aca="false">Q5+Q3-Q4</f>
        <v>310.331172</v>
      </c>
      <c r="R6" s="6" t="n">
        <f aca="false">R5+R3-R4</f>
        <v>337.22786028</v>
      </c>
      <c r="S6" s="6" t="n">
        <f aca="false">S5+S3-S4</f>
        <v>363.8555816772</v>
      </c>
      <c r="T6" s="6" t="n">
        <f aca="false">T5+T3-T4</f>
        <v>390.217025860428</v>
      </c>
      <c r="U6" s="6" t="n">
        <f aca="false">U5+U3-U4</f>
        <v>416.314855601824</v>
      </c>
      <c r="V6" s="6" t="n">
        <f aca="false">V5+V3-V4</f>
        <v>442.151707045805</v>
      </c>
      <c r="W6" s="6" t="n">
        <f aca="false">W5+W3-W4</f>
        <v>467.730189975347</v>
      </c>
      <c r="X6" s="6" t="n">
        <f aca="false">X5+X3-X4</f>
        <v>493.052888075594</v>
      </c>
      <c r="Y6" s="6" t="n">
        <f aca="false">Y5+Y3-Y4</f>
        <v>518.122359194838</v>
      </c>
      <c r="Z6" s="6" t="n">
        <f aca="false">M6</f>
        <v>200</v>
      </c>
      <c r="AA6" s="6" t="n">
        <f aca="false">Y6</f>
        <v>518.122359194838</v>
      </c>
    </row>
    <row r="7" customFormat="false" ht="15" hidden="false" customHeight="false" outlineLevel="0" collapsed="false">
      <c r="A7" s="0" t="s">
        <v>79</v>
      </c>
      <c r="B7" s="6" t="n">
        <f aca="false">(B5+B6)/2</f>
        <v>1</v>
      </c>
      <c r="C7" s="6" t="n">
        <f aca="false">(C5+C6)/2</f>
        <v>3</v>
      </c>
      <c r="D7" s="6" t="n">
        <f aca="false">(D5+D6)/2</f>
        <v>5</v>
      </c>
      <c r="E7" s="6" t="n">
        <f aca="false">(E5+E6)/2</f>
        <v>7</v>
      </c>
      <c r="F7" s="6" t="n">
        <f aca="false">(F5+F6)/2</f>
        <v>9</v>
      </c>
      <c r="G7" s="6" t="n">
        <f aca="false">(G5+G6)/2</f>
        <v>11</v>
      </c>
      <c r="H7" s="6" t="n">
        <f aca="false">(H5+H6)/2</f>
        <v>18</v>
      </c>
      <c r="I7" s="6" t="n">
        <f aca="false">(I5+I6)/2</f>
        <v>33</v>
      </c>
      <c r="J7" s="6" t="n">
        <f aca="false">(J5+J6)/2</f>
        <v>55</v>
      </c>
      <c r="K7" s="6" t="n">
        <f aca="false">(K5+K6)/2</f>
        <v>85</v>
      </c>
      <c r="L7" s="6" t="n">
        <f aca="false">(L5+L6)/2</f>
        <v>123</v>
      </c>
      <c r="M7" s="6" t="n">
        <f aca="false">(M5+M6)/2</f>
        <v>172</v>
      </c>
      <c r="N7" s="6" t="n">
        <f aca="false">(N5+N6)/2</f>
        <v>214</v>
      </c>
      <c r="O7" s="6" t="n">
        <f aca="false">(O5+O6)/2</f>
        <v>241.86</v>
      </c>
      <c r="P7" s="6" t="n">
        <f aca="false">(P5+P6)/2</f>
        <v>269.4414</v>
      </c>
      <c r="Q7" s="6" t="n">
        <f aca="false">(Q5+Q6)/2</f>
        <v>296.746986</v>
      </c>
      <c r="R7" s="6" t="n">
        <f aca="false">(R5+R6)/2</f>
        <v>323.77951614</v>
      </c>
      <c r="S7" s="6" t="n">
        <f aca="false">(S5+S6)/2</f>
        <v>350.5417209786</v>
      </c>
      <c r="T7" s="6" t="n">
        <f aca="false">(T5+T6)/2</f>
        <v>377.036303768814</v>
      </c>
      <c r="U7" s="6" t="n">
        <f aca="false">(U5+U6)/2</f>
        <v>403.265940731126</v>
      </c>
      <c r="V7" s="6" t="n">
        <f aca="false">(V5+V6)/2</f>
        <v>429.233281323815</v>
      </c>
      <c r="W7" s="6" t="n">
        <f aca="false">(W5+W6)/2</f>
        <v>454.940948510576</v>
      </c>
      <c r="X7" s="6" t="n">
        <f aca="false">(X5+X6)/2</f>
        <v>480.391539025471</v>
      </c>
      <c r="Y7" s="6" t="n">
        <f aca="false">(Y5+Y6)/2</f>
        <v>505.587623635216</v>
      </c>
      <c r="Z7" s="6"/>
      <c r="AA7" s="6"/>
    </row>
    <row r="8" customFormat="false" ht="15" hidden="false" customHeight="false" outlineLevel="0" collapsed="false">
      <c r="A8" s="0" t="s">
        <v>80</v>
      </c>
      <c r="B8" s="6" t="n">
        <f aca="false">B7*Assumptions!$B$30</f>
        <v>65</v>
      </c>
      <c r="C8" s="6" t="n">
        <f aca="false">C7*Assumptions!$B$30</f>
        <v>195</v>
      </c>
      <c r="D8" s="6" t="n">
        <f aca="false">D7*Assumptions!$B$30</f>
        <v>325</v>
      </c>
      <c r="E8" s="6" t="n">
        <f aca="false">E7*Assumptions!$B$30</f>
        <v>455</v>
      </c>
      <c r="F8" s="6" t="n">
        <f aca="false">F7*Assumptions!$B$30</f>
        <v>585</v>
      </c>
      <c r="G8" s="6" t="n">
        <f aca="false">G7*Assumptions!$B$30</f>
        <v>715</v>
      </c>
      <c r="H8" s="6" t="n">
        <f aca="false">H7*Assumptions!$B$30</f>
        <v>1170</v>
      </c>
      <c r="I8" s="6" t="n">
        <f aca="false">I7*Assumptions!$B$30</f>
        <v>2145</v>
      </c>
      <c r="J8" s="6" t="n">
        <f aca="false">J7*Assumptions!$B$30</f>
        <v>3575</v>
      </c>
      <c r="K8" s="6" t="n">
        <f aca="false">K7*Assumptions!$B$30</f>
        <v>5525</v>
      </c>
      <c r="L8" s="6" t="n">
        <f aca="false">L7*Assumptions!$B$30</f>
        <v>7995</v>
      </c>
      <c r="M8" s="6" t="n">
        <f aca="false">M7*Assumptions!$B$30</f>
        <v>11180</v>
      </c>
      <c r="N8" s="6" t="n">
        <f aca="false">N7*Assumptions!$B$30</f>
        <v>13910</v>
      </c>
      <c r="O8" s="6" t="n">
        <f aca="false">O7*Assumptions!$B$30</f>
        <v>15720.9</v>
      </c>
      <c r="P8" s="6" t="n">
        <f aca="false">P7*Assumptions!$B$30</f>
        <v>17513.691</v>
      </c>
      <c r="Q8" s="6" t="n">
        <f aca="false">Q7*Assumptions!$B$30</f>
        <v>19288.55409</v>
      </c>
      <c r="R8" s="6" t="n">
        <f aca="false">R7*Assumptions!$B$30</f>
        <v>21045.6685491</v>
      </c>
      <c r="S8" s="6" t="n">
        <f aca="false">S7*Assumptions!$B$30</f>
        <v>22785.211863609</v>
      </c>
      <c r="T8" s="6" t="n">
        <f aca="false">T7*Assumptions!$B$30</f>
        <v>24507.3597449729</v>
      </c>
      <c r="U8" s="6" t="n">
        <f aca="false">U7*Assumptions!$B$30</f>
        <v>26212.2861475232</v>
      </c>
      <c r="V8" s="6" t="n">
        <f aca="false">V7*Assumptions!$B$30</f>
        <v>27900.1632860479</v>
      </c>
      <c r="W8" s="6" t="n">
        <f aca="false">W7*Assumptions!$B$30</f>
        <v>29571.1616531875</v>
      </c>
      <c r="X8" s="6" t="n">
        <f aca="false">X7*Assumptions!$B$30</f>
        <v>31225.4500366556</v>
      </c>
      <c r="Y8" s="6" t="n">
        <f aca="false">Y7*Assumptions!$B$30</f>
        <v>32863.195536289</v>
      </c>
      <c r="Z8" s="6" t="n">
        <f aca="false">SUM(B8:M8)</f>
        <v>33930</v>
      </c>
      <c r="AA8" s="6" t="n">
        <f aca="false">SUM(N8:Y8)</f>
        <v>282543.641907385</v>
      </c>
    </row>
    <row r="9" customFormat="false" ht="15" hidden="false" customHeight="false" outlineLevel="0" collapsed="false">
      <c r="A9" s="2" t="s">
        <v>81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customFormat="false" ht="15" hidden="false" customHeight="false" outlineLevel="0" collapsed="false">
      <c r="A10" s="0" t="s">
        <v>82</v>
      </c>
      <c r="B10" s="6" t="n">
        <f aca="false">B7*Assumptions!$B$4</f>
        <v>100</v>
      </c>
      <c r="C10" s="6" t="n">
        <f aca="false">C7*Assumptions!$B$4</f>
        <v>300</v>
      </c>
      <c r="D10" s="6" t="n">
        <f aca="false">D7*Assumptions!$B$4</f>
        <v>500</v>
      </c>
      <c r="E10" s="6" t="n">
        <f aca="false">E7*Assumptions!$B$4</f>
        <v>700</v>
      </c>
      <c r="F10" s="6" t="n">
        <f aca="false">F7*Assumptions!$B$4</f>
        <v>900</v>
      </c>
      <c r="G10" s="6" t="n">
        <f aca="false">G7*Assumptions!$B$4</f>
        <v>1100</v>
      </c>
      <c r="H10" s="6" t="n">
        <f aca="false">H7*Assumptions!$B$4</f>
        <v>1800</v>
      </c>
      <c r="I10" s="6" t="n">
        <f aca="false">I7*Assumptions!$B$4</f>
        <v>3300</v>
      </c>
      <c r="J10" s="6" t="n">
        <f aca="false">J7*Assumptions!$B$4</f>
        <v>5500</v>
      </c>
      <c r="K10" s="6" t="n">
        <f aca="false">K7*Assumptions!$B$4</f>
        <v>8500</v>
      </c>
      <c r="L10" s="6" t="n">
        <f aca="false">L7*Assumptions!$B$4</f>
        <v>12300</v>
      </c>
      <c r="M10" s="6" t="n">
        <f aca="false">M7*Assumptions!$B$4</f>
        <v>17200</v>
      </c>
      <c r="N10" s="6" t="n">
        <f aca="false">N7*Assumptions!$B$4</f>
        <v>21400</v>
      </c>
      <c r="O10" s="6" t="n">
        <f aca="false">O7*Assumptions!$B$4</f>
        <v>24186</v>
      </c>
      <c r="P10" s="6" t="n">
        <f aca="false">P7*Assumptions!$B$4</f>
        <v>26944.14</v>
      </c>
      <c r="Q10" s="6" t="n">
        <f aca="false">Q7*Assumptions!$B$4</f>
        <v>29674.6986</v>
      </c>
      <c r="R10" s="6" t="n">
        <f aca="false">R7*Assumptions!$B$4</f>
        <v>32377.951614</v>
      </c>
      <c r="S10" s="6" t="n">
        <f aca="false">S7*Assumptions!$B$4</f>
        <v>35054.17209786</v>
      </c>
      <c r="T10" s="6" t="n">
        <f aca="false">T7*Assumptions!$B$4</f>
        <v>37703.6303768814</v>
      </c>
      <c r="U10" s="6" t="n">
        <f aca="false">U7*Assumptions!$B$4</f>
        <v>40326.5940731126</v>
      </c>
      <c r="V10" s="6" t="n">
        <f aca="false">V7*Assumptions!$B$4</f>
        <v>42923.3281323815</v>
      </c>
      <c r="W10" s="6" t="n">
        <f aca="false">W7*Assumptions!$B$4</f>
        <v>45494.0948510576</v>
      </c>
      <c r="X10" s="6" t="n">
        <f aca="false">X7*Assumptions!$B$4</f>
        <v>48039.1539025471</v>
      </c>
      <c r="Y10" s="6" t="n">
        <f aca="false">Y7*Assumptions!$B$4</f>
        <v>50558.7623635216</v>
      </c>
      <c r="Z10" s="6" t="n">
        <f aca="false">SUM(B10:M10)</f>
        <v>52200</v>
      </c>
      <c r="AA10" s="6" t="n">
        <f aca="false">SUM(N10:Y10)</f>
        <v>434682.526011362</v>
      </c>
    </row>
    <row r="11" customFormat="false" ht="15" hidden="false" customHeight="false" outlineLevel="0" collapsed="false">
      <c r="A11" s="0" t="s">
        <v>83</v>
      </c>
      <c r="B11" s="6" t="n">
        <f aca="false">B8*Assumptions!$B$5</f>
        <v>195</v>
      </c>
      <c r="C11" s="6" t="n">
        <f aca="false">C8*Assumptions!$B$5</f>
        <v>585</v>
      </c>
      <c r="D11" s="6" t="n">
        <f aca="false">D8*Assumptions!$B$5</f>
        <v>975</v>
      </c>
      <c r="E11" s="6" t="n">
        <f aca="false">E8*Assumptions!$B$5</f>
        <v>1365</v>
      </c>
      <c r="F11" s="6" t="n">
        <f aca="false">F8*Assumptions!$B$5</f>
        <v>1755</v>
      </c>
      <c r="G11" s="6" t="n">
        <f aca="false">G8*Assumptions!$B$5</f>
        <v>2145</v>
      </c>
      <c r="H11" s="6" t="n">
        <f aca="false">H8*Assumptions!$B$5</f>
        <v>3510</v>
      </c>
      <c r="I11" s="6" t="n">
        <f aca="false">I8*Assumptions!$B$5</f>
        <v>6435</v>
      </c>
      <c r="J11" s="6" t="n">
        <f aca="false">J8*Assumptions!$B$5</f>
        <v>10725</v>
      </c>
      <c r="K11" s="6" t="n">
        <f aca="false">K8*Assumptions!$B$5</f>
        <v>16575</v>
      </c>
      <c r="L11" s="6" t="n">
        <f aca="false">L8*Assumptions!$B$5</f>
        <v>23985</v>
      </c>
      <c r="M11" s="6" t="n">
        <f aca="false">M8*Assumptions!$B$5</f>
        <v>33540</v>
      </c>
      <c r="N11" s="6" t="n">
        <f aca="false">N8*Assumptions!$B$5</f>
        <v>41730</v>
      </c>
      <c r="O11" s="6" t="n">
        <f aca="false">O8*Assumptions!$B$5</f>
        <v>47162.7</v>
      </c>
      <c r="P11" s="6" t="n">
        <f aca="false">P8*Assumptions!$B$5</f>
        <v>52541.073</v>
      </c>
      <c r="Q11" s="6" t="n">
        <f aca="false">Q8*Assumptions!$B$5</f>
        <v>57865.66227</v>
      </c>
      <c r="R11" s="6" t="n">
        <f aca="false">R8*Assumptions!$B$5</f>
        <v>63137.0056473</v>
      </c>
      <c r="S11" s="6" t="n">
        <f aca="false">S8*Assumptions!$B$5</f>
        <v>68355.635590827</v>
      </c>
      <c r="T11" s="6" t="n">
        <f aca="false">T8*Assumptions!$B$5</f>
        <v>73522.0792349187</v>
      </c>
      <c r="U11" s="6" t="n">
        <f aca="false">U8*Assumptions!$B$5</f>
        <v>78636.8584425695</v>
      </c>
      <c r="V11" s="6" t="n">
        <f aca="false">V8*Assumptions!$B$5</f>
        <v>83700.4898581439</v>
      </c>
      <c r="W11" s="6" t="n">
        <f aca="false">W8*Assumptions!$B$5</f>
        <v>88713.4849595624</v>
      </c>
      <c r="X11" s="6" t="n">
        <f aca="false">X8*Assumptions!$B$5</f>
        <v>93676.3501099668</v>
      </c>
      <c r="Y11" s="6" t="n">
        <f aca="false">Y8*Assumptions!$B$5</f>
        <v>98589.5866088671</v>
      </c>
      <c r="Z11" s="6" t="n">
        <f aca="false">SUM(B11:M11)</f>
        <v>101790</v>
      </c>
      <c r="AA11" s="6" t="n">
        <f aca="false">SUM(N11:Y11)</f>
        <v>847630.925722155</v>
      </c>
    </row>
    <row r="12" customFormat="false" ht="15" hidden="false" customHeight="false" outlineLevel="0" collapsed="false">
      <c r="A12" s="1" t="s">
        <v>84</v>
      </c>
      <c r="B12" s="7" t="n">
        <f aca="false">B10+B11</f>
        <v>295</v>
      </c>
      <c r="C12" s="7" t="n">
        <f aca="false">C10+C11</f>
        <v>885</v>
      </c>
      <c r="D12" s="7" t="n">
        <f aca="false">D10+D11</f>
        <v>1475</v>
      </c>
      <c r="E12" s="7" t="n">
        <f aca="false">E10+E11</f>
        <v>2065</v>
      </c>
      <c r="F12" s="7" t="n">
        <f aca="false">F10+F11</f>
        <v>2655</v>
      </c>
      <c r="G12" s="7" t="n">
        <f aca="false">G10+G11</f>
        <v>3245</v>
      </c>
      <c r="H12" s="7" t="n">
        <f aca="false">H10+H11</f>
        <v>5310</v>
      </c>
      <c r="I12" s="7" t="n">
        <f aca="false">I10+I11</f>
        <v>9735</v>
      </c>
      <c r="J12" s="7" t="n">
        <f aca="false">J10+J11</f>
        <v>16225</v>
      </c>
      <c r="K12" s="7" t="n">
        <f aca="false">K10+K11</f>
        <v>25075</v>
      </c>
      <c r="L12" s="7" t="n">
        <f aca="false">L10+L11</f>
        <v>36285</v>
      </c>
      <c r="M12" s="7" t="n">
        <f aca="false">M10+M11</f>
        <v>50740</v>
      </c>
      <c r="N12" s="7" t="n">
        <f aca="false">N10+N11</f>
        <v>63130</v>
      </c>
      <c r="O12" s="7" t="n">
        <f aca="false">O10+O11</f>
        <v>71348.7</v>
      </c>
      <c r="P12" s="7" t="n">
        <f aca="false">P10+P11</f>
        <v>79485.213</v>
      </c>
      <c r="Q12" s="7" t="n">
        <f aca="false">Q10+Q11</f>
        <v>87540.36087</v>
      </c>
      <c r="R12" s="7" t="n">
        <f aca="false">R10+R11</f>
        <v>95514.9572613</v>
      </c>
      <c r="S12" s="7" t="n">
        <f aca="false">S10+S11</f>
        <v>103409.807688687</v>
      </c>
      <c r="T12" s="7" t="n">
        <f aca="false">T10+T11</f>
        <v>111225.7096118</v>
      </c>
      <c r="U12" s="7" t="n">
        <f aca="false">U10+U11</f>
        <v>118963.452515682</v>
      </c>
      <c r="V12" s="7" t="n">
        <f aca="false">V10+V11</f>
        <v>126623.817990525</v>
      </c>
      <c r="W12" s="7" t="n">
        <f aca="false">W10+W11</f>
        <v>134207.57981062</v>
      </c>
      <c r="X12" s="7" t="n">
        <f aca="false">X10+X11</f>
        <v>141715.504012514</v>
      </c>
      <c r="Y12" s="7" t="n">
        <f aca="false">Y10+Y11</f>
        <v>149148.348972389</v>
      </c>
      <c r="Z12" s="7" t="n">
        <f aca="false">SUM(B12:M12)</f>
        <v>153990</v>
      </c>
      <c r="AA12" s="7" t="n">
        <f aca="false">SUM(N12:Y12)</f>
        <v>1282313.45173352</v>
      </c>
    </row>
    <row r="13" customFormat="false" ht="15" hidden="false" customHeight="false" outlineLevel="0" collapsed="false">
      <c r="A13" s="2" t="s">
        <v>85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5" hidden="false" customHeight="false" outlineLevel="0" collapsed="false">
      <c r="A14" s="0" t="s">
        <v>86</v>
      </c>
      <c r="B14" s="6" t="n">
        <f aca="false">B8*(Assumptions!$B$9+Assumptions!$B$10+Assumptions!$B$11+Assumptions!$B$12+Assumptions!$B$13)</f>
        <v>39</v>
      </c>
      <c r="C14" s="6" t="n">
        <f aca="false">C8*(Assumptions!$B$9+Assumptions!$B$10+Assumptions!$B$11+Assumptions!$B$12+Assumptions!$B$13)</f>
        <v>117</v>
      </c>
      <c r="D14" s="6" t="n">
        <f aca="false">D8*(Assumptions!$B$9+Assumptions!$B$10+Assumptions!$B$11+Assumptions!$B$12+Assumptions!$B$13)</f>
        <v>195</v>
      </c>
      <c r="E14" s="6" t="n">
        <f aca="false">E8*(Assumptions!$B$9+Assumptions!$B$10+Assumptions!$B$11+Assumptions!$B$12+Assumptions!$B$13)</f>
        <v>273</v>
      </c>
      <c r="F14" s="6" t="n">
        <f aca="false">F8*(Assumptions!$B$9+Assumptions!$B$10+Assumptions!$B$11+Assumptions!$B$12+Assumptions!$B$13)</f>
        <v>351</v>
      </c>
      <c r="G14" s="6" t="n">
        <f aca="false">G8*(Assumptions!$B$9+Assumptions!$B$10+Assumptions!$B$11+Assumptions!$B$12+Assumptions!$B$13)</f>
        <v>429</v>
      </c>
      <c r="H14" s="6" t="n">
        <f aca="false">H8*(Assumptions!$B$9+Assumptions!$B$10+Assumptions!$B$11+Assumptions!$B$12+Assumptions!$B$13)</f>
        <v>702</v>
      </c>
      <c r="I14" s="6" t="n">
        <f aca="false">I8*(Assumptions!$B$9+Assumptions!$B$10+Assumptions!$B$11+Assumptions!$B$12+Assumptions!$B$13)</f>
        <v>1287</v>
      </c>
      <c r="J14" s="6" t="n">
        <f aca="false">J8*(Assumptions!$B$9+Assumptions!$B$10+Assumptions!$B$11+Assumptions!$B$12+Assumptions!$B$13)</f>
        <v>2145</v>
      </c>
      <c r="K14" s="6" t="n">
        <f aca="false">K8*(Assumptions!$B$9+Assumptions!$B$10+Assumptions!$B$11+Assumptions!$B$12+Assumptions!$B$13)</f>
        <v>3315</v>
      </c>
      <c r="L14" s="6" t="n">
        <f aca="false">L8*(Assumptions!$B$9+Assumptions!$B$10+Assumptions!$B$11+Assumptions!$B$12+Assumptions!$B$13)</f>
        <v>4797</v>
      </c>
      <c r="M14" s="6" t="n">
        <f aca="false">M8*(Assumptions!$B$9+Assumptions!$B$10+Assumptions!$B$11+Assumptions!$B$12+Assumptions!$B$13)</f>
        <v>6708</v>
      </c>
      <c r="N14" s="6" t="n">
        <f aca="false">N8*(Assumptions!$B$9+Assumptions!$B$10+Assumptions!$B$11+Assumptions!$B$12+Assumptions!$B$13)</f>
        <v>8346</v>
      </c>
      <c r="O14" s="6" t="n">
        <f aca="false">O8*(Assumptions!$B$9+Assumptions!$B$10+Assumptions!$B$11+Assumptions!$B$12+Assumptions!$B$13)</f>
        <v>9432.54</v>
      </c>
      <c r="P14" s="6" t="n">
        <f aca="false">P8*(Assumptions!$B$9+Assumptions!$B$10+Assumptions!$B$11+Assumptions!$B$12+Assumptions!$B$13)</f>
        <v>10508.2146</v>
      </c>
      <c r="Q14" s="6" t="n">
        <f aca="false">Q8*(Assumptions!$B$9+Assumptions!$B$10+Assumptions!$B$11+Assumptions!$B$12+Assumptions!$B$13)</f>
        <v>11573.132454</v>
      </c>
      <c r="R14" s="6" t="n">
        <f aca="false">R8*(Assumptions!$B$9+Assumptions!$B$10+Assumptions!$B$11+Assumptions!$B$12+Assumptions!$B$13)</f>
        <v>12627.40112946</v>
      </c>
      <c r="S14" s="6" t="n">
        <f aca="false">S8*(Assumptions!$B$9+Assumptions!$B$10+Assumptions!$B$11+Assumptions!$B$12+Assumptions!$B$13)</f>
        <v>13671.1271181654</v>
      </c>
      <c r="T14" s="6" t="n">
        <f aca="false">T8*(Assumptions!$B$9+Assumptions!$B$10+Assumptions!$B$11+Assumptions!$B$12+Assumptions!$B$13)</f>
        <v>14704.4158469837</v>
      </c>
      <c r="U14" s="6" t="n">
        <f aca="false">U8*(Assumptions!$B$9+Assumptions!$B$10+Assumptions!$B$11+Assumptions!$B$12+Assumptions!$B$13)</f>
        <v>15727.3716885139</v>
      </c>
      <c r="V14" s="6" t="n">
        <f aca="false">V8*(Assumptions!$B$9+Assumptions!$B$10+Assumptions!$B$11+Assumptions!$B$12+Assumptions!$B$13)</f>
        <v>16740.0979716288</v>
      </c>
      <c r="W14" s="6" t="n">
        <f aca="false">W8*(Assumptions!$B$9+Assumptions!$B$10+Assumptions!$B$11+Assumptions!$B$12+Assumptions!$B$13)</f>
        <v>17742.6969919125</v>
      </c>
      <c r="X14" s="6" t="n">
        <f aca="false">X8*(Assumptions!$B$9+Assumptions!$B$10+Assumptions!$B$11+Assumptions!$B$12+Assumptions!$B$13)</f>
        <v>18735.2700219934</v>
      </c>
      <c r="Y14" s="6" t="n">
        <f aca="false">Y8*(Assumptions!$B$9+Assumptions!$B$10+Assumptions!$B$11+Assumptions!$B$12+Assumptions!$B$13)</f>
        <v>19717.9173217734</v>
      </c>
      <c r="Z14" s="6" t="n">
        <f aca="false">SUM(B14:M14)</f>
        <v>20358</v>
      </c>
      <c r="AA14" s="6" t="n">
        <f aca="false">SUM(N14:Y14)</f>
        <v>169526.185144431</v>
      </c>
    </row>
    <row r="15" customFormat="false" ht="15" hidden="false" customHeight="false" outlineLevel="0" collapsed="false">
      <c r="A15" s="0" t="s">
        <v>87</v>
      </c>
      <c r="B15" s="6" t="n">
        <f aca="false">B7*Assumptions!$B$15</f>
        <v>6</v>
      </c>
      <c r="C15" s="6" t="n">
        <f aca="false">C7*Assumptions!$B$15</f>
        <v>18</v>
      </c>
      <c r="D15" s="6" t="n">
        <f aca="false">D7*Assumptions!$B$15</f>
        <v>30</v>
      </c>
      <c r="E15" s="6" t="n">
        <f aca="false">E7*Assumptions!$B$15</f>
        <v>42</v>
      </c>
      <c r="F15" s="6" t="n">
        <f aca="false">F7*Assumptions!$B$15</f>
        <v>54</v>
      </c>
      <c r="G15" s="6" t="n">
        <f aca="false">G7*Assumptions!$B$15</f>
        <v>66</v>
      </c>
      <c r="H15" s="6" t="n">
        <f aca="false">H7*Assumptions!$B$15</f>
        <v>108</v>
      </c>
      <c r="I15" s="6" t="n">
        <f aca="false">I7*Assumptions!$B$15</f>
        <v>198</v>
      </c>
      <c r="J15" s="6" t="n">
        <f aca="false">J7*Assumptions!$B$15</f>
        <v>330</v>
      </c>
      <c r="K15" s="6" t="n">
        <f aca="false">K7*Assumptions!$B$15</f>
        <v>510</v>
      </c>
      <c r="L15" s="6" t="n">
        <f aca="false">L7*Assumptions!$B$15</f>
        <v>738</v>
      </c>
      <c r="M15" s="6" t="n">
        <f aca="false">M7*Assumptions!$B$15</f>
        <v>1032</v>
      </c>
      <c r="N15" s="6" t="n">
        <f aca="false">N7*Assumptions!$B$15</f>
        <v>1284</v>
      </c>
      <c r="O15" s="6" t="n">
        <f aca="false">O7*Assumptions!$B$15</f>
        <v>1451.16</v>
      </c>
      <c r="P15" s="6" t="n">
        <f aca="false">P7*Assumptions!$B$15</f>
        <v>1616.6484</v>
      </c>
      <c r="Q15" s="6" t="n">
        <f aca="false">Q7*Assumptions!$B$15</f>
        <v>1780.481916</v>
      </c>
      <c r="R15" s="6" t="n">
        <f aca="false">R7*Assumptions!$B$15</f>
        <v>1942.67709684</v>
      </c>
      <c r="S15" s="6" t="n">
        <f aca="false">S7*Assumptions!$B$15</f>
        <v>2103.2503258716</v>
      </c>
      <c r="T15" s="6" t="n">
        <f aca="false">T7*Assumptions!$B$15</f>
        <v>2262.21782261288</v>
      </c>
      <c r="U15" s="6" t="n">
        <f aca="false">U7*Assumptions!$B$15</f>
        <v>2419.59564438676</v>
      </c>
      <c r="V15" s="6" t="n">
        <f aca="false">V7*Assumptions!$B$15</f>
        <v>2575.39968794289</v>
      </c>
      <c r="W15" s="6" t="n">
        <f aca="false">W7*Assumptions!$B$15</f>
        <v>2729.64569106346</v>
      </c>
      <c r="X15" s="6" t="n">
        <f aca="false">X7*Assumptions!$B$15</f>
        <v>2882.34923415282</v>
      </c>
      <c r="Y15" s="6" t="n">
        <f aca="false">Y7*Assumptions!$B$15</f>
        <v>3033.5257418113</v>
      </c>
      <c r="Z15" s="6" t="n">
        <f aca="false">SUM(B15:M15)</f>
        <v>3132</v>
      </c>
      <c r="AA15" s="6" t="n">
        <f aca="false">SUM(N15:Y15)</f>
        <v>26080.9515606817</v>
      </c>
    </row>
    <row r="16" customFormat="false" ht="15" hidden="false" customHeight="false" outlineLevel="0" collapsed="false">
      <c r="A16" s="0" t="s">
        <v>88</v>
      </c>
      <c r="B16" s="6" t="n">
        <f aca="false">B7*Assumptions!$B$17</f>
        <v>1</v>
      </c>
      <c r="C16" s="6" t="n">
        <f aca="false">C7*Assumptions!$B$17</f>
        <v>3</v>
      </c>
      <c r="D16" s="6" t="n">
        <f aca="false">D7*Assumptions!$B$17</f>
        <v>5</v>
      </c>
      <c r="E16" s="6" t="n">
        <f aca="false">E7*Assumptions!$B$17</f>
        <v>7</v>
      </c>
      <c r="F16" s="6" t="n">
        <f aca="false">F7*Assumptions!$B$17</f>
        <v>9</v>
      </c>
      <c r="G16" s="6" t="n">
        <f aca="false">G7*Assumptions!$B$17</f>
        <v>11</v>
      </c>
      <c r="H16" s="6" t="n">
        <f aca="false">H7*Assumptions!$B$17</f>
        <v>18</v>
      </c>
      <c r="I16" s="6" t="n">
        <f aca="false">I7*Assumptions!$B$17</f>
        <v>33</v>
      </c>
      <c r="J16" s="6" t="n">
        <f aca="false">J7*Assumptions!$B$17</f>
        <v>55</v>
      </c>
      <c r="K16" s="6" t="n">
        <f aca="false">K7*Assumptions!$B$17</f>
        <v>85</v>
      </c>
      <c r="L16" s="6" t="n">
        <f aca="false">L7*Assumptions!$B$17</f>
        <v>123</v>
      </c>
      <c r="M16" s="6" t="n">
        <f aca="false">M7*Assumptions!$B$17</f>
        <v>172</v>
      </c>
      <c r="N16" s="6" t="n">
        <f aca="false">N7*Assumptions!$B$17</f>
        <v>214</v>
      </c>
      <c r="O16" s="6" t="n">
        <f aca="false">O7*Assumptions!$B$17</f>
        <v>241.86</v>
      </c>
      <c r="P16" s="6" t="n">
        <f aca="false">P7*Assumptions!$B$17</f>
        <v>269.4414</v>
      </c>
      <c r="Q16" s="6" t="n">
        <f aca="false">Q7*Assumptions!$B$17</f>
        <v>296.746986</v>
      </c>
      <c r="R16" s="6" t="n">
        <f aca="false">R7*Assumptions!$B$17</f>
        <v>323.77951614</v>
      </c>
      <c r="S16" s="6" t="n">
        <f aca="false">S7*Assumptions!$B$17</f>
        <v>350.5417209786</v>
      </c>
      <c r="T16" s="6" t="n">
        <f aca="false">T7*Assumptions!$B$17</f>
        <v>377.036303768814</v>
      </c>
      <c r="U16" s="6" t="n">
        <f aca="false">U7*Assumptions!$B$17</f>
        <v>403.265940731126</v>
      </c>
      <c r="V16" s="6" t="n">
        <f aca="false">V7*Assumptions!$B$17</f>
        <v>429.233281323815</v>
      </c>
      <c r="W16" s="6" t="n">
        <f aca="false">W7*Assumptions!$B$17</f>
        <v>454.940948510576</v>
      </c>
      <c r="X16" s="6" t="n">
        <f aca="false">X7*Assumptions!$B$17</f>
        <v>480.391539025471</v>
      </c>
      <c r="Y16" s="6" t="n">
        <f aca="false">Y7*Assumptions!$B$17</f>
        <v>505.587623635216</v>
      </c>
      <c r="Z16" s="6" t="n">
        <f aca="false">SUM(B16:M16)</f>
        <v>522</v>
      </c>
      <c r="AA16" s="6" t="n">
        <f aca="false">SUM(N16:Y16)</f>
        <v>4346.82526011362</v>
      </c>
    </row>
    <row r="17" customFormat="false" ht="15" hidden="false" customHeight="false" outlineLevel="0" collapsed="false">
      <c r="A17" s="0" t="s">
        <v>89</v>
      </c>
      <c r="B17" s="6" t="n">
        <f aca="false">B14+B15+B16</f>
        <v>46</v>
      </c>
      <c r="C17" s="6" t="n">
        <f aca="false">C14+C15+C16</f>
        <v>138</v>
      </c>
      <c r="D17" s="6" t="n">
        <f aca="false">D14+D15+D16</f>
        <v>230</v>
      </c>
      <c r="E17" s="6" t="n">
        <f aca="false">E14+E15+E16</f>
        <v>322</v>
      </c>
      <c r="F17" s="6" t="n">
        <f aca="false">F14+F15+F16</f>
        <v>414</v>
      </c>
      <c r="G17" s="6" t="n">
        <f aca="false">G14+G15+G16</f>
        <v>506</v>
      </c>
      <c r="H17" s="6" t="n">
        <f aca="false">H14+H15+H16</f>
        <v>828</v>
      </c>
      <c r="I17" s="6" t="n">
        <f aca="false">I14+I15+I16</f>
        <v>1518</v>
      </c>
      <c r="J17" s="6" t="n">
        <f aca="false">J14+J15+J16</f>
        <v>2530</v>
      </c>
      <c r="K17" s="6" t="n">
        <f aca="false">K14+K15+K16</f>
        <v>3910</v>
      </c>
      <c r="L17" s="6" t="n">
        <f aca="false">L14+L15+L16</f>
        <v>5658</v>
      </c>
      <c r="M17" s="6" t="n">
        <f aca="false">M14+M15+M16</f>
        <v>7912</v>
      </c>
      <c r="N17" s="6" t="n">
        <f aca="false">N14+N15+N16</f>
        <v>9844</v>
      </c>
      <c r="O17" s="6" t="n">
        <f aca="false">O14+O15+O16</f>
        <v>11125.56</v>
      </c>
      <c r="P17" s="6" t="n">
        <f aca="false">P14+P15+P16</f>
        <v>12394.3044</v>
      </c>
      <c r="Q17" s="6" t="n">
        <f aca="false">Q14+Q15+Q16</f>
        <v>13650.361356</v>
      </c>
      <c r="R17" s="6" t="n">
        <f aca="false">R14+R15+R16</f>
        <v>14893.85774244</v>
      </c>
      <c r="S17" s="6" t="n">
        <f aca="false">S14+S15+S16</f>
        <v>16124.9191650156</v>
      </c>
      <c r="T17" s="6" t="n">
        <f aca="false">T14+T15+T16</f>
        <v>17343.6699733654</v>
      </c>
      <c r="U17" s="6" t="n">
        <f aca="false">U14+U15+U16</f>
        <v>18550.2332736318</v>
      </c>
      <c r="V17" s="6" t="n">
        <f aca="false">V14+V15+V16</f>
        <v>19744.7309408955</v>
      </c>
      <c r="W17" s="6" t="n">
        <f aca="false">W14+W15+W16</f>
        <v>20927.2836314865</v>
      </c>
      <c r="X17" s="6" t="n">
        <f aca="false">X14+X15+X16</f>
        <v>22098.0107951717</v>
      </c>
      <c r="Y17" s="6" t="n">
        <f aca="false">Y14+Y15+Y16</f>
        <v>23257.0306872199</v>
      </c>
      <c r="Z17" s="6" t="n">
        <f aca="false">SUM(B17:M17)</f>
        <v>24012</v>
      </c>
      <c r="AA17" s="6" t="n">
        <f aca="false">SUM(N17:Y17)</f>
        <v>199953.961965226</v>
      </c>
    </row>
    <row r="18" customFormat="false" ht="15" hidden="false" customHeight="false" outlineLevel="0" collapsed="false">
      <c r="A18" s="1" t="s">
        <v>90</v>
      </c>
      <c r="B18" s="7" t="n">
        <f aca="false">B12-B17</f>
        <v>249</v>
      </c>
      <c r="C18" s="7" t="n">
        <f aca="false">C12-C17</f>
        <v>747</v>
      </c>
      <c r="D18" s="7" t="n">
        <f aca="false">D12-D17</f>
        <v>1245</v>
      </c>
      <c r="E18" s="7" t="n">
        <f aca="false">E12-E17</f>
        <v>1743</v>
      </c>
      <c r="F18" s="7" t="n">
        <f aca="false">F12-F17</f>
        <v>2241</v>
      </c>
      <c r="G18" s="7" t="n">
        <f aca="false">G12-G17</f>
        <v>2739</v>
      </c>
      <c r="H18" s="7" t="n">
        <f aca="false">H12-H17</f>
        <v>4482</v>
      </c>
      <c r="I18" s="7" t="n">
        <f aca="false">I12-I17</f>
        <v>8217</v>
      </c>
      <c r="J18" s="7" t="n">
        <f aca="false">J12-J17</f>
        <v>13695</v>
      </c>
      <c r="K18" s="7" t="n">
        <f aca="false">K12-K17</f>
        <v>21165</v>
      </c>
      <c r="L18" s="7" t="n">
        <f aca="false">L12-L17</f>
        <v>30627</v>
      </c>
      <c r="M18" s="7" t="n">
        <f aca="false">M12-M17</f>
        <v>42828</v>
      </c>
      <c r="N18" s="7" t="n">
        <f aca="false">N12-N17</f>
        <v>53286</v>
      </c>
      <c r="O18" s="7" t="n">
        <f aca="false">O12-O17</f>
        <v>60223.14</v>
      </c>
      <c r="P18" s="7" t="n">
        <f aca="false">P12-P17</f>
        <v>67090.9086</v>
      </c>
      <c r="Q18" s="7" t="n">
        <f aca="false">Q12-Q17</f>
        <v>73889.999514</v>
      </c>
      <c r="R18" s="7" t="n">
        <f aca="false">R12-R17</f>
        <v>80621.09951886</v>
      </c>
      <c r="S18" s="7" t="n">
        <f aca="false">S12-S17</f>
        <v>87284.8885236714</v>
      </c>
      <c r="T18" s="7" t="n">
        <f aca="false">T12-T17</f>
        <v>93882.0396384347</v>
      </c>
      <c r="U18" s="7" t="n">
        <f aca="false">U12-U17</f>
        <v>100413.21924205</v>
      </c>
      <c r="V18" s="7" t="n">
        <f aca="false">V12-V17</f>
        <v>106879.08704963</v>
      </c>
      <c r="W18" s="7" t="n">
        <f aca="false">W12-W17</f>
        <v>113280.296179134</v>
      </c>
      <c r="X18" s="7" t="n">
        <f aca="false">X12-X17</f>
        <v>119617.493217342</v>
      </c>
      <c r="Y18" s="7" t="n">
        <f aca="false">Y12-Y17</f>
        <v>125891.318285169</v>
      </c>
      <c r="Z18" s="7" t="n">
        <f aca="false">SUM(B18:M18)</f>
        <v>129978</v>
      </c>
      <c r="AA18" s="7" t="n">
        <f aca="false">SUM(N18:Y18)</f>
        <v>1082359.48976829</v>
      </c>
    </row>
    <row r="19" customFormat="false" ht="15" hidden="false" customHeight="false" outlineLevel="0" collapsed="false">
      <c r="A19" s="0" t="s">
        <v>91</v>
      </c>
      <c r="B19" s="8" t="n">
        <f aca="false">B18/B12</f>
        <v>0.84406779661017</v>
      </c>
      <c r="C19" s="8" t="n">
        <f aca="false">C18/C12</f>
        <v>0.84406779661017</v>
      </c>
      <c r="D19" s="8" t="n">
        <f aca="false">D18/D12</f>
        <v>0.84406779661017</v>
      </c>
      <c r="E19" s="8" t="n">
        <f aca="false">E18/E12</f>
        <v>0.84406779661017</v>
      </c>
      <c r="F19" s="8" t="n">
        <f aca="false">F18/F12</f>
        <v>0.84406779661017</v>
      </c>
      <c r="G19" s="8" t="n">
        <f aca="false">G18/G12</f>
        <v>0.84406779661017</v>
      </c>
      <c r="H19" s="8" t="n">
        <f aca="false">H18/H12</f>
        <v>0.84406779661017</v>
      </c>
      <c r="I19" s="8" t="n">
        <f aca="false">I18/I12</f>
        <v>0.84406779661017</v>
      </c>
      <c r="J19" s="8" t="n">
        <f aca="false">J18/J12</f>
        <v>0.84406779661017</v>
      </c>
      <c r="K19" s="8" t="n">
        <f aca="false">K18/K12</f>
        <v>0.84406779661017</v>
      </c>
      <c r="L19" s="8" t="n">
        <f aca="false">L18/L12</f>
        <v>0.84406779661017</v>
      </c>
      <c r="M19" s="8" t="n">
        <f aca="false">M18/M12</f>
        <v>0.84406779661017</v>
      </c>
      <c r="N19" s="8" t="n">
        <f aca="false">N18/N12</f>
        <v>0.84406779661017</v>
      </c>
      <c r="O19" s="8" t="n">
        <f aca="false">O18/O12</f>
        <v>0.844067796610169</v>
      </c>
      <c r="P19" s="8" t="n">
        <f aca="false">P18/P12</f>
        <v>0.84406779661017</v>
      </c>
      <c r="Q19" s="8" t="n">
        <f aca="false">Q18/Q12</f>
        <v>0.84406779661017</v>
      </c>
      <c r="R19" s="8" t="n">
        <f aca="false">R18/R12</f>
        <v>0.84406779661017</v>
      </c>
      <c r="S19" s="8" t="n">
        <f aca="false">S18/S12</f>
        <v>0.84406779661017</v>
      </c>
      <c r="T19" s="8" t="n">
        <f aca="false">T18/T12</f>
        <v>0.84406779661017</v>
      </c>
      <c r="U19" s="8" t="n">
        <f aca="false">U18/U12</f>
        <v>0.84406779661017</v>
      </c>
      <c r="V19" s="8" t="n">
        <f aca="false">V18/V12</f>
        <v>0.84406779661017</v>
      </c>
      <c r="W19" s="8" t="n">
        <f aca="false">W18/W12</f>
        <v>0.84406779661017</v>
      </c>
      <c r="X19" s="8" t="n">
        <f aca="false">X18/X12</f>
        <v>0.84406779661017</v>
      </c>
      <c r="Y19" s="8" t="n">
        <f aca="false">Y18/Y12</f>
        <v>0.844067796610169</v>
      </c>
      <c r="Z19" s="8" t="n">
        <f aca="false">Z18/Z12</f>
        <v>0.84406779661017</v>
      </c>
      <c r="AA19" s="8" t="n">
        <f aca="false">AA18/AA12</f>
        <v>0.844067796610169</v>
      </c>
    </row>
    <row r="20" customFormat="false" ht="15" hidden="false" customHeight="false" outlineLevel="0" collapsed="false">
      <c r="A20" s="2" t="s">
        <v>92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customFormat="false" ht="15" hidden="false" customHeight="false" outlineLevel="0" collapsed="false">
      <c r="A21" s="0" t="s">
        <v>93</v>
      </c>
      <c r="B21" s="6" t="n">
        <f aca="false">B3*(Assumptions!$B$19+Assumptions!$B$20)</f>
        <v>400</v>
      </c>
      <c r="C21" s="6" t="n">
        <f aca="false">C3*(Assumptions!$B$19+Assumptions!$B$20)</f>
        <v>400</v>
      </c>
      <c r="D21" s="6" t="n">
        <f aca="false">D3*(Assumptions!$B$19+Assumptions!$B$20)</f>
        <v>400</v>
      </c>
      <c r="E21" s="6" t="n">
        <f aca="false">E3*(Assumptions!$B$19+Assumptions!$B$20)</f>
        <v>400</v>
      </c>
      <c r="F21" s="6" t="n">
        <f aca="false">F3*(Assumptions!$B$19+Assumptions!$B$20)</f>
        <v>400</v>
      </c>
      <c r="G21" s="6" t="n">
        <f aca="false">G3*(Assumptions!$B$19+Assumptions!$B$20)</f>
        <v>400</v>
      </c>
      <c r="H21" s="6" t="n">
        <f aca="false">H3*(Assumptions!$B$19+Assumptions!$B$20)</f>
        <v>2400</v>
      </c>
      <c r="I21" s="6" t="n">
        <f aca="false">I3*(Assumptions!$B$19+Assumptions!$B$20)</f>
        <v>3600</v>
      </c>
      <c r="J21" s="6" t="n">
        <f aca="false">J3*(Assumptions!$B$19+Assumptions!$B$20)</f>
        <v>5200</v>
      </c>
      <c r="K21" s="6" t="n">
        <f aca="false">K3*(Assumptions!$B$19+Assumptions!$B$20)</f>
        <v>6800</v>
      </c>
      <c r="L21" s="6" t="n">
        <f aca="false">L3*(Assumptions!$B$19+Assumptions!$B$20)</f>
        <v>8400</v>
      </c>
      <c r="M21" s="6" t="n">
        <f aca="false">M3*(Assumptions!$B$19+Assumptions!$B$20)</f>
        <v>11200</v>
      </c>
      <c r="N21" s="6" t="n">
        <f aca="false">N3*(Assumptions!$B$19+Assumptions!$B$20)</f>
        <v>6000</v>
      </c>
      <c r="O21" s="6" t="n">
        <f aca="false">O3*(Assumptions!$B$19+Assumptions!$B$20)</f>
        <v>6000</v>
      </c>
      <c r="P21" s="6" t="n">
        <f aca="false">P3*(Assumptions!$B$19+Assumptions!$B$20)</f>
        <v>6000</v>
      </c>
      <c r="Q21" s="6" t="n">
        <f aca="false">Q3*(Assumptions!$B$19+Assumptions!$B$20)</f>
        <v>6000</v>
      </c>
      <c r="R21" s="6" t="n">
        <f aca="false">R3*(Assumptions!$B$19+Assumptions!$B$20)</f>
        <v>6000</v>
      </c>
      <c r="S21" s="6" t="n">
        <f aca="false">S3*(Assumptions!$B$19+Assumptions!$B$20)</f>
        <v>6000</v>
      </c>
      <c r="T21" s="6" t="n">
        <f aca="false">T3*(Assumptions!$B$19+Assumptions!$B$20)</f>
        <v>6000</v>
      </c>
      <c r="U21" s="6" t="n">
        <f aca="false">U3*(Assumptions!$B$19+Assumptions!$B$20)</f>
        <v>6000</v>
      </c>
      <c r="V21" s="6" t="n">
        <f aca="false">V3*(Assumptions!$B$19+Assumptions!$B$20)</f>
        <v>6000</v>
      </c>
      <c r="W21" s="6" t="n">
        <f aca="false">W3*(Assumptions!$B$19+Assumptions!$B$20)</f>
        <v>6000</v>
      </c>
      <c r="X21" s="6" t="n">
        <f aca="false">X3*(Assumptions!$B$19+Assumptions!$B$20)</f>
        <v>6000</v>
      </c>
      <c r="Y21" s="6" t="n">
        <f aca="false">Y3*(Assumptions!$B$19+Assumptions!$B$20)</f>
        <v>6000</v>
      </c>
      <c r="Z21" s="6" t="n">
        <f aca="false">SUM(B21:M21)</f>
        <v>40000</v>
      </c>
      <c r="AA21" s="6" t="n">
        <f aca="false">SUM(N21:Y21)</f>
        <v>72000</v>
      </c>
    </row>
    <row r="22" customFormat="false" ht="15" hidden="false" customHeight="false" outlineLevel="0" collapsed="false">
      <c r="A22" s="0" t="s">
        <v>94</v>
      </c>
      <c r="B22" s="6" t="n">
        <f aca="false">B7*Assumptions!$B$16</f>
        <v>5</v>
      </c>
      <c r="C22" s="6" t="n">
        <f aca="false">C7*Assumptions!$B$16</f>
        <v>15</v>
      </c>
      <c r="D22" s="6" t="n">
        <f aca="false">D7*Assumptions!$B$16</f>
        <v>25</v>
      </c>
      <c r="E22" s="6" t="n">
        <f aca="false">E7*Assumptions!$B$16</f>
        <v>35</v>
      </c>
      <c r="F22" s="6" t="n">
        <f aca="false">F7*Assumptions!$B$16</f>
        <v>45</v>
      </c>
      <c r="G22" s="6" t="n">
        <f aca="false">G7*Assumptions!$B$16</f>
        <v>55</v>
      </c>
      <c r="H22" s="6" t="n">
        <f aca="false">H7*Assumptions!$B$16</f>
        <v>90</v>
      </c>
      <c r="I22" s="6" t="n">
        <f aca="false">I7*Assumptions!$B$16</f>
        <v>165</v>
      </c>
      <c r="J22" s="6" t="n">
        <f aca="false">J7*Assumptions!$B$16</f>
        <v>275</v>
      </c>
      <c r="K22" s="6" t="n">
        <f aca="false">K7*Assumptions!$B$16</f>
        <v>425</v>
      </c>
      <c r="L22" s="6" t="n">
        <f aca="false">L7*Assumptions!$B$16</f>
        <v>615</v>
      </c>
      <c r="M22" s="6" t="n">
        <f aca="false">M7*Assumptions!$B$16</f>
        <v>860</v>
      </c>
      <c r="N22" s="6" t="n">
        <f aca="false">N7*Assumptions!$B$16</f>
        <v>1070</v>
      </c>
      <c r="O22" s="6" t="n">
        <f aca="false">O7*Assumptions!$B$16</f>
        <v>1209.3</v>
      </c>
      <c r="P22" s="6" t="n">
        <f aca="false">P7*Assumptions!$B$16</f>
        <v>1347.207</v>
      </c>
      <c r="Q22" s="6" t="n">
        <f aca="false">Q7*Assumptions!$B$16</f>
        <v>1483.73493</v>
      </c>
      <c r="R22" s="6" t="n">
        <f aca="false">R7*Assumptions!$B$16</f>
        <v>1618.8975807</v>
      </c>
      <c r="S22" s="6" t="n">
        <f aca="false">S7*Assumptions!$B$16</f>
        <v>1752.708604893</v>
      </c>
      <c r="T22" s="6" t="n">
        <f aca="false">T7*Assumptions!$B$16</f>
        <v>1885.18151884407</v>
      </c>
      <c r="U22" s="6" t="n">
        <f aca="false">U7*Assumptions!$B$16</f>
        <v>2016.32970365563</v>
      </c>
      <c r="V22" s="6" t="n">
        <f aca="false">V7*Assumptions!$B$16</f>
        <v>2146.16640661907</v>
      </c>
      <c r="W22" s="6" t="n">
        <f aca="false">W7*Assumptions!$B$16</f>
        <v>2274.70474255288</v>
      </c>
      <c r="X22" s="6" t="n">
        <f aca="false">X7*Assumptions!$B$16</f>
        <v>2401.95769512735</v>
      </c>
      <c r="Y22" s="6" t="n">
        <f aca="false">Y7*Assumptions!$B$16</f>
        <v>2527.93811817608</v>
      </c>
      <c r="Z22" s="6" t="n">
        <f aca="false">SUM(B22:M22)</f>
        <v>2610</v>
      </c>
      <c r="AA22" s="6" t="n">
        <f aca="false">SUM(N22:Y22)</f>
        <v>21734.1263005681</v>
      </c>
    </row>
    <row r="23" customFormat="false" ht="15" hidden="false" customHeight="false" outlineLevel="0" collapsed="false">
      <c r="A23" s="0" t="s">
        <v>95</v>
      </c>
      <c r="B23" s="6" t="n">
        <f aca="false">IF(Assumptions!B33&gt;=Assumptions!$B$22,1,0)+IF(AND(Assumptions!B33&gt;=Assumptions!$B$22,B5&gt;=Assumptions!$B$23),1,0)</f>
        <v>0</v>
      </c>
      <c r="C23" s="6" t="n">
        <f aca="false">IF(Assumptions!C33&gt;=Assumptions!$B$22,1,0)+IF(AND(Assumptions!C33&gt;=Assumptions!$B$22,C5&gt;=Assumptions!$B$23),1,0)</f>
        <v>0</v>
      </c>
      <c r="D23" s="6" t="n">
        <f aca="false">IF(Assumptions!D33&gt;=Assumptions!$B$22,1,0)+IF(AND(Assumptions!D33&gt;=Assumptions!$B$22,D5&gt;=Assumptions!$B$23),1,0)</f>
        <v>0</v>
      </c>
      <c r="E23" s="6" t="n">
        <f aca="false">IF(Assumptions!E33&gt;=Assumptions!$B$22,1,0)+IF(AND(Assumptions!E33&gt;=Assumptions!$B$22,E5&gt;=Assumptions!$B$23),1,0)</f>
        <v>0</v>
      </c>
      <c r="F23" s="6" t="n">
        <f aca="false">IF(Assumptions!F33&gt;=Assumptions!$B$22,1,0)+IF(AND(Assumptions!F33&gt;=Assumptions!$B$22,F5&gt;=Assumptions!$B$23),1,0)</f>
        <v>0</v>
      </c>
      <c r="G23" s="6" t="n">
        <f aca="false">IF(Assumptions!G33&gt;=Assumptions!$B$22,1,0)+IF(AND(Assumptions!G33&gt;=Assumptions!$B$22,G5&gt;=Assumptions!$B$23),1,0)</f>
        <v>0</v>
      </c>
      <c r="H23" s="6" t="n">
        <f aca="false">IF(Assumptions!H33&gt;=Assumptions!$B$22,1,0)+IF(AND(Assumptions!H33&gt;=Assumptions!$B$22,H5&gt;=Assumptions!$B$23),1,0)</f>
        <v>0</v>
      </c>
      <c r="I23" s="6" t="n">
        <f aca="false">IF(Assumptions!I33&gt;=Assumptions!$B$22,1,0)+IF(AND(Assumptions!I33&gt;=Assumptions!$B$22,I5&gt;=Assumptions!$B$23),1,0)</f>
        <v>0</v>
      </c>
      <c r="J23" s="6" t="n">
        <f aca="false">IF(Assumptions!J33&gt;=Assumptions!$B$22,1,0)+IF(AND(Assumptions!J33&gt;=Assumptions!$B$22,J5&gt;=Assumptions!$B$23),1,0)</f>
        <v>1</v>
      </c>
      <c r="K23" s="6" t="n">
        <f aca="false">IF(Assumptions!K33&gt;=Assumptions!$B$22,1,0)+IF(AND(Assumptions!K33&gt;=Assumptions!$B$22,K5&gt;=Assumptions!$B$23),1,0)</f>
        <v>1</v>
      </c>
      <c r="L23" s="6" t="n">
        <f aca="false">IF(Assumptions!L33&gt;=Assumptions!$B$22,1,0)+IF(AND(Assumptions!L33&gt;=Assumptions!$B$22,L5&gt;=Assumptions!$B$23),1,0)</f>
        <v>1</v>
      </c>
      <c r="M23" s="6" t="n">
        <f aca="false">IF(Assumptions!M33&gt;=Assumptions!$B$22,1,0)+IF(AND(Assumptions!M33&gt;=Assumptions!$B$22,M5&gt;=Assumptions!$B$23),1,0)</f>
        <v>1</v>
      </c>
      <c r="N23" s="6" t="n">
        <f aca="false">IF(Assumptions!N33&gt;=Assumptions!$B$22,1,0)+IF(AND(Assumptions!N33&gt;=Assumptions!$B$22,N5&gt;=Assumptions!$B$23),1,0)</f>
        <v>1</v>
      </c>
      <c r="O23" s="6" t="n">
        <f aca="false">IF(Assumptions!O33&gt;=Assumptions!$B$22,1,0)+IF(AND(Assumptions!O33&gt;=Assumptions!$B$22,O5&gt;=Assumptions!$B$23),1,0)</f>
        <v>1</v>
      </c>
      <c r="P23" s="6" t="n">
        <f aca="false">IF(Assumptions!P33&gt;=Assumptions!$B$22,1,0)+IF(AND(Assumptions!P33&gt;=Assumptions!$B$22,P5&gt;=Assumptions!$B$23),1,0)</f>
        <v>1</v>
      </c>
      <c r="Q23" s="6" t="n">
        <f aca="false">IF(Assumptions!Q33&gt;=Assumptions!$B$22,1,0)+IF(AND(Assumptions!Q33&gt;=Assumptions!$B$22,Q5&gt;=Assumptions!$B$23),1,0)</f>
        <v>1</v>
      </c>
      <c r="R23" s="6" t="n">
        <f aca="false">IF(Assumptions!R33&gt;=Assumptions!$B$22,1,0)+IF(AND(Assumptions!R33&gt;=Assumptions!$B$22,R5&gt;=Assumptions!$B$23),1,0)</f>
        <v>1</v>
      </c>
      <c r="S23" s="6" t="n">
        <f aca="false">IF(Assumptions!S33&gt;=Assumptions!$B$22,1,0)+IF(AND(Assumptions!S33&gt;=Assumptions!$B$22,S5&gt;=Assumptions!$B$23),1,0)</f>
        <v>1</v>
      </c>
      <c r="T23" s="6" t="n">
        <f aca="false">IF(Assumptions!T33&gt;=Assumptions!$B$22,1,0)+IF(AND(Assumptions!T33&gt;=Assumptions!$B$22,T5&gt;=Assumptions!$B$23),1,0)</f>
        <v>1</v>
      </c>
      <c r="U23" s="6" t="n">
        <f aca="false">IF(Assumptions!U33&gt;=Assumptions!$B$22,1,0)+IF(AND(Assumptions!U33&gt;=Assumptions!$B$22,U5&gt;=Assumptions!$B$23),1,0)</f>
        <v>1</v>
      </c>
      <c r="V23" s="6" t="n">
        <f aca="false">IF(Assumptions!V33&gt;=Assumptions!$B$22,1,0)+IF(AND(Assumptions!V33&gt;=Assumptions!$B$22,V5&gt;=Assumptions!$B$23),1,0)</f>
        <v>2</v>
      </c>
      <c r="W23" s="6" t="n">
        <f aca="false">IF(Assumptions!W33&gt;=Assumptions!$B$22,1,0)+IF(AND(Assumptions!W33&gt;=Assumptions!$B$22,W5&gt;=Assumptions!$B$23),1,0)</f>
        <v>2</v>
      </c>
      <c r="X23" s="6" t="n">
        <f aca="false">IF(Assumptions!X33&gt;=Assumptions!$B$22,1,0)+IF(AND(Assumptions!X33&gt;=Assumptions!$B$22,X5&gt;=Assumptions!$B$23),1,0)</f>
        <v>2</v>
      </c>
      <c r="Y23" s="6" t="n">
        <f aca="false">IF(Assumptions!Y33&gt;=Assumptions!$B$22,1,0)+IF(AND(Assumptions!Y33&gt;=Assumptions!$B$22,Y5&gt;=Assumptions!$B$23),1,0)</f>
        <v>2</v>
      </c>
      <c r="Z23" s="6" t="n">
        <f aca="false">M23</f>
        <v>1</v>
      </c>
      <c r="AA23" s="6" t="n">
        <f aca="false">Y23</f>
        <v>2</v>
      </c>
    </row>
    <row r="24" customFormat="false" ht="15" hidden="false" customHeight="false" outlineLevel="0" collapsed="false">
      <c r="A24" s="0" t="s">
        <v>96</v>
      </c>
      <c r="B24" s="6" t="n">
        <f aca="false">B23*Assumptions!$B$21</f>
        <v>0</v>
      </c>
      <c r="C24" s="6" t="n">
        <f aca="false">C23*Assumptions!$B$21</f>
        <v>0</v>
      </c>
      <c r="D24" s="6" t="n">
        <f aca="false">D23*Assumptions!$B$21</f>
        <v>0</v>
      </c>
      <c r="E24" s="6" t="n">
        <f aca="false">E23*Assumptions!$B$21</f>
        <v>0</v>
      </c>
      <c r="F24" s="6" t="n">
        <f aca="false">F23*Assumptions!$B$21</f>
        <v>0</v>
      </c>
      <c r="G24" s="6" t="n">
        <f aca="false">G23*Assumptions!$B$21</f>
        <v>0</v>
      </c>
      <c r="H24" s="6" t="n">
        <f aca="false">H23*Assumptions!$B$21</f>
        <v>0</v>
      </c>
      <c r="I24" s="6" t="n">
        <f aca="false">I23*Assumptions!$B$21</f>
        <v>0</v>
      </c>
      <c r="J24" s="6" t="n">
        <f aca="false">J23*Assumptions!$B$21</f>
        <v>9000</v>
      </c>
      <c r="K24" s="6" t="n">
        <f aca="false">K23*Assumptions!$B$21</f>
        <v>9000</v>
      </c>
      <c r="L24" s="6" t="n">
        <f aca="false">L23*Assumptions!$B$21</f>
        <v>9000</v>
      </c>
      <c r="M24" s="6" t="n">
        <f aca="false">M23*Assumptions!$B$21</f>
        <v>9000</v>
      </c>
      <c r="N24" s="6" t="n">
        <f aca="false">N23*Assumptions!$B$21</f>
        <v>9000</v>
      </c>
      <c r="O24" s="6" t="n">
        <f aca="false">O23*Assumptions!$B$21</f>
        <v>9000</v>
      </c>
      <c r="P24" s="6" t="n">
        <f aca="false">P23*Assumptions!$B$21</f>
        <v>9000</v>
      </c>
      <c r="Q24" s="6" t="n">
        <f aca="false">Q23*Assumptions!$B$21</f>
        <v>9000</v>
      </c>
      <c r="R24" s="6" t="n">
        <f aca="false">R23*Assumptions!$B$21</f>
        <v>9000</v>
      </c>
      <c r="S24" s="6" t="n">
        <f aca="false">S23*Assumptions!$B$21</f>
        <v>9000</v>
      </c>
      <c r="T24" s="6" t="n">
        <f aca="false">T23*Assumptions!$B$21</f>
        <v>9000</v>
      </c>
      <c r="U24" s="6" t="n">
        <f aca="false">U23*Assumptions!$B$21</f>
        <v>9000</v>
      </c>
      <c r="V24" s="6" t="n">
        <f aca="false">V23*Assumptions!$B$21</f>
        <v>18000</v>
      </c>
      <c r="W24" s="6" t="n">
        <f aca="false">W23*Assumptions!$B$21</f>
        <v>18000</v>
      </c>
      <c r="X24" s="6" t="n">
        <f aca="false">X23*Assumptions!$B$21</f>
        <v>18000</v>
      </c>
      <c r="Y24" s="6" t="n">
        <f aca="false">Y23*Assumptions!$B$21</f>
        <v>18000</v>
      </c>
      <c r="Z24" s="6" t="n">
        <f aca="false">SUM(B24:M24)</f>
        <v>36000</v>
      </c>
      <c r="AA24" s="6" t="n">
        <f aca="false">SUM(N24:Y24)</f>
        <v>144000</v>
      </c>
    </row>
    <row r="25" customFormat="false" ht="15" hidden="false" customHeight="false" outlineLevel="0" collapsed="false">
      <c r="A25" s="0" t="s">
        <v>97</v>
      </c>
      <c r="B25" s="6" t="n">
        <f aca="false">Assumptions!$B$24</f>
        <v>150</v>
      </c>
      <c r="C25" s="6" t="n">
        <f aca="false">Assumptions!$B$24</f>
        <v>150</v>
      </c>
      <c r="D25" s="6" t="n">
        <f aca="false">Assumptions!$B$24</f>
        <v>150</v>
      </c>
      <c r="E25" s="6" t="n">
        <f aca="false">Assumptions!$B$24</f>
        <v>150</v>
      </c>
      <c r="F25" s="6" t="n">
        <f aca="false">Assumptions!$B$24</f>
        <v>150</v>
      </c>
      <c r="G25" s="6" t="n">
        <f aca="false">Assumptions!$B$24</f>
        <v>150</v>
      </c>
      <c r="H25" s="6" t="n">
        <f aca="false">Assumptions!$B$24</f>
        <v>150</v>
      </c>
      <c r="I25" s="6" t="n">
        <f aca="false">Assumptions!$B$24</f>
        <v>150</v>
      </c>
      <c r="J25" s="6" t="n">
        <f aca="false">Assumptions!$B$24</f>
        <v>150</v>
      </c>
      <c r="K25" s="6" t="n">
        <f aca="false">Assumptions!$B$24</f>
        <v>150</v>
      </c>
      <c r="L25" s="6" t="n">
        <f aca="false">Assumptions!$B$24</f>
        <v>150</v>
      </c>
      <c r="M25" s="6" t="n">
        <f aca="false">Assumptions!$B$24</f>
        <v>150</v>
      </c>
      <c r="N25" s="6" t="n">
        <f aca="false">Assumptions!$B$24</f>
        <v>150</v>
      </c>
      <c r="O25" s="6" t="n">
        <f aca="false">Assumptions!$B$24</f>
        <v>150</v>
      </c>
      <c r="P25" s="6" t="n">
        <f aca="false">Assumptions!$B$24</f>
        <v>150</v>
      </c>
      <c r="Q25" s="6" t="n">
        <f aca="false">Assumptions!$B$24</f>
        <v>150</v>
      </c>
      <c r="R25" s="6" t="n">
        <f aca="false">Assumptions!$B$24</f>
        <v>150</v>
      </c>
      <c r="S25" s="6" t="n">
        <f aca="false">Assumptions!$B$24</f>
        <v>150</v>
      </c>
      <c r="T25" s="6" t="n">
        <f aca="false">Assumptions!$B$24</f>
        <v>150</v>
      </c>
      <c r="U25" s="6" t="n">
        <f aca="false">Assumptions!$B$24</f>
        <v>150</v>
      </c>
      <c r="V25" s="6" t="n">
        <f aca="false">Assumptions!$B$24</f>
        <v>150</v>
      </c>
      <c r="W25" s="6" t="n">
        <f aca="false">Assumptions!$B$24</f>
        <v>150</v>
      </c>
      <c r="X25" s="6" t="n">
        <f aca="false">Assumptions!$B$24</f>
        <v>150</v>
      </c>
      <c r="Y25" s="6" t="n">
        <f aca="false">Assumptions!$B$24</f>
        <v>150</v>
      </c>
      <c r="Z25" s="6" t="n">
        <f aca="false">SUM(B25:M25)</f>
        <v>1800</v>
      </c>
      <c r="AA25" s="6" t="n">
        <f aca="false">SUM(N25:Y25)</f>
        <v>1800</v>
      </c>
    </row>
    <row r="26" customFormat="false" ht="15" hidden="false" customHeight="false" outlineLevel="0" collapsed="false">
      <c r="A26" s="0" t="s">
        <v>98</v>
      </c>
      <c r="B26" s="6" t="n">
        <f aca="false">Assumptions!$B$25</f>
        <v>500</v>
      </c>
      <c r="C26" s="6" t="n">
        <f aca="false">Assumptions!$B$25</f>
        <v>500</v>
      </c>
      <c r="D26" s="6" t="n">
        <f aca="false">Assumptions!$B$25</f>
        <v>500</v>
      </c>
      <c r="E26" s="6" t="n">
        <f aca="false">Assumptions!$B$25</f>
        <v>500</v>
      </c>
      <c r="F26" s="6" t="n">
        <f aca="false">Assumptions!$B$25</f>
        <v>500</v>
      </c>
      <c r="G26" s="6" t="n">
        <f aca="false">Assumptions!$B$25</f>
        <v>500</v>
      </c>
      <c r="H26" s="6" t="n">
        <f aca="false">Assumptions!$B$25</f>
        <v>500</v>
      </c>
      <c r="I26" s="6" t="n">
        <f aca="false">Assumptions!$B$25</f>
        <v>500</v>
      </c>
      <c r="J26" s="6" t="n">
        <f aca="false">Assumptions!$B$25</f>
        <v>500</v>
      </c>
      <c r="K26" s="6" t="n">
        <f aca="false">Assumptions!$B$25</f>
        <v>500</v>
      </c>
      <c r="L26" s="6" t="n">
        <f aca="false">Assumptions!$B$25</f>
        <v>500</v>
      </c>
      <c r="M26" s="6" t="n">
        <f aca="false">Assumptions!$B$25</f>
        <v>500</v>
      </c>
      <c r="N26" s="6" t="n">
        <f aca="false">Assumptions!$B$25</f>
        <v>500</v>
      </c>
      <c r="O26" s="6" t="n">
        <f aca="false">Assumptions!$B$25</f>
        <v>500</v>
      </c>
      <c r="P26" s="6" t="n">
        <f aca="false">Assumptions!$B$25</f>
        <v>500</v>
      </c>
      <c r="Q26" s="6" t="n">
        <f aca="false">Assumptions!$B$25</f>
        <v>500</v>
      </c>
      <c r="R26" s="6" t="n">
        <f aca="false">Assumptions!$B$25</f>
        <v>500</v>
      </c>
      <c r="S26" s="6" t="n">
        <f aca="false">Assumptions!$B$25</f>
        <v>500</v>
      </c>
      <c r="T26" s="6" t="n">
        <f aca="false">Assumptions!$B$25</f>
        <v>500</v>
      </c>
      <c r="U26" s="6" t="n">
        <f aca="false">Assumptions!$B$25</f>
        <v>500</v>
      </c>
      <c r="V26" s="6" t="n">
        <f aca="false">Assumptions!$B$25</f>
        <v>500</v>
      </c>
      <c r="W26" s="6" t="n">
        <f aca="false">Assumptions!$B$25</f>
        <v>500</v>
      </c>
      <c r="X26" s="6" t="n">
        <f aca="false">Assumptions!$B$25</f>
        <v>500</v>
      </c>
      <c r="Y26" s="6" t="n">
        <f aca="false">Assumptions!$B$25</f>
        <v>500</v>
      </c>
      <c r="Z26" s="6" t="n">
        <f aca="false">SUM(B26:M26)</f>
        <v>6000</v>
      </c>
      <c r="AA26" s="6" t="n">
        <f aca="false">SUM(N26:Y26)</f>
        <v>6000</v>
      </c>
    </row>
    <row r="27" customFormat="false" ht="15" hidden="false" customHeight="false" outlineLevel="0" collapsed="false">
      <c r="A27" s="0" t="s">
        <v>99</v>
      </c>
      <c r="B27" s="6" t="n">
        <f aca="false">Assumptions!$B$26</f>
        <v>1200</v>
      </c>
      <c r="C27" s="6" t="n">
        <f aca="false">Assumptions!$B$26</f>
        <v>1200</v>
      </c>
      <c r="D27" s="6" t="n">
        <f aca="false">Assumptions!$B$26</f>
        <v>1200</v>
      </c>
      <c r="E27" s="6" t="n">
        <f aca="false">Assumptions!$B$26</f>
        <v>1200</v>
      </c>
      <c r="F27" s="6" t="n">
        <f aca="false">Assumptions!$B$26</f>
        <v>1200</v>
      </c>
      <c r="G27" s="6" t="n">
        <f aca="false">Assumptions!$B$26</f>
        <v>1200</v>
      </c>
      <c r="H27" s="6" t="n">
        <f aca="false">Assumptions!$B$26</f>
        <v>1200</v>
      </c>
      <c r="I27" s="6" t="n">
        <f aca="false">Assumptions!$B$26</f>
        <v>1200</v>
      </c>
      <c r="J27" s="6" t="n">
        <f aca="false">Assumptions!$B$26</f>
        <v>1200</v>
      </c>
      <c r="K27" s="6" t="n">
        <f aca="false">Assumptions!$B$26</f>
        <v>1200</v>
      </c>
      <c r="L27" s="6" t="n">
        <f aca="false">Assumptions!$B$26</f>
        <v>1200</v>
      </c>
      <c r="M27" s="6" t="n">
        <f aca="false">Assumptions!$B$26</f>
        <v>1200</v>
      </c>
      <c r="N27" s="6" t="n">
        <f aca="false">Assumptions!$B$26</f>
        <v>1200</v>
      </c>
      <c r="O27" s="6" t="n">
        <f aca="false">Assumptions!$B$26</f>
        <v>1200</v>
      </c>
      <c r="P27" s="6" t="n">
        <f aca="false">Assumptions!$B$26</f>
        <v>1200</v>
      </c>
      <c r="Q27" s="6" t="n">
        <f aca="false">Assumptions!$B$26</f>
        <v>1200</v>
      </c>
      <c r="R27" s="6" t="n">
        <f aca="false">Assumptions!$B$26</f>
        <v>1200</v>
      </c>
      <c r="S27" s="6" t="n">
        <f aca="false">Assumptions!$B$26</f>
        <v>1200</v>
      </c>
      <c r="T27" s="6" t="n">
        <f aca="false">Assumptions!$B$26</f>
        <v>1200</v>
      </c>
      <c r="U27" s="6" t="n">
        <f aca="false">Assumptions!$B$26</f>
        <v>1200</v>
      </c>
      <c r="V27" s="6" t="n">
        <f aca="false">Assumptions!$B$26</f>
        <v>1200</v>
      </c>
      <c r="W27" s="6" t="n">
        <f aca="false">Assumptions!$B$26</f>
        <v>1200</v>
      </c>
      <c r="X27" s="6" t="n">
        <f aca="false">Assumptions!$B$26</f>
        <v>1200</v>
      </c>
      <c r="Y27" s="6" t="n">
        <f aca="false">Assumptions!$B$26</f>
        <v>1200</v>
      </c>
      <c r="Z27" s="6" t="n">
        <f aca="false">SUM(B27:M27)</f>
        <v>14400</v>
      </c>
      <c r="AA27" s="6" t="n">
        <f aca="false">SUM(N27:Y27)</f>
        <v>14400</v>
      </c>
    </row>
    <row r="28" customFormat="false" ht="15" hidden="false" customHeight="false" outlineLevel="0" collapsed="false">
      <c r="A28" s="0" t="s">
        <v>100</v>
      </c>
      <c r="B28" s="6" t="n">
        <f aca="false">Assumptions!$B$27</f>
        <v>7500</v>
      </c>
      <c r="C28" s="6" t="n">
        <f aca="false">Assumptions!$B$27</f>
        <v>7500</v>
      </c>
      <c r="D28" s="6" t="n">
        <f aca="false">Assumptions!$B$27</f>
        <v>7500</v>
      </c>
      <c r="E28" s="6" t="n">
        <f aca="false">Assumptions!$B$27</f>
        <v>7500</v>
      </c>
      <c r="F28" s="6" t="n">
        <f aca="false">Assumptions!$B$27</f>
        <v>7500</v>
      </c>
      <c r="G28" s="6" t="n">
        <f aca="false">Assumptions!$B$27</f>
        <v>7500</v>
      </c>
      <c r="H28" s="6" t="n">
        <f aca="false">Assumptions!$B$27</f>
        <v>7500</v>
      </c>
      <c r="I28" s="6" t="n">
        <f aca="false">Assumptions!$B$27</f>
        <v>7500</v>
      </c>
      <c r="J28" s="6" t="n">
        <f aca="false">Assumptions!$B$27</f>
        <v>7500</v>
      </c>
      <c r="K28" s="6" t="n">
        <f aca="false">Assumptions!$B$27</f>
        <v>7500</v>
      </c>
      <c r="L28" s="6" t="n">
        <f aca="false">Assumptions!$B$27</f>
        <v>7500</v>
      </c>
      <c r="M28" s="6" t="n">
        <f aca="false">Assumptions!$B$27</f>
        <v>7500</v>
      </c>
      <c r="N28" s="6" t="n">
        <f aca="false">Assumptions!$B$27</f>
        <v>7500</v>
      </c>
      <c r="O28" s="6" t="n">
        <f aca="false">Assumptions!$B$27</f>
        <v>7500</v>
      </c>
      <c r="P28" s="6" t="n">
        <f aca="false">Assumptions!$B$27</f>
        <v>7500</v>
      </c>
      <c r="Q28" s="6" t="n">
        <f aca="false">Assumptions!$B$27</f>
        <v>7500</v>
      </c>
      <c r="R28" s="6" t="n">
        <f aca="false">Assumptions!$B$27</f>
        <v>7500</v>
      </c>
      <c r="S28" s="6" t="n">
        <f aca="false">Assumptions!$B$27</f>
        <v>7500</v>
      </c>
      <c r="T28" s="6" t="n">
        <f aca="false">Assumptions!$B$27</f>
        <v>7500</v>
      </c>
      <c r="U28" s="6" t="n">
        <f aca="false">Assumptions!$B$27</f>
        <v>7500</v>
      </c>
      <c r="V28" s="6" t="n">
        <f aca="false">Assumptions!$B$27</f>
        <v>7500</v>
      </c>
      <c r="W28" s="6" t="n">
        <f aca="false">Assumptions!$B$27</f>
        <v>7500</v>
      </c>
      <c r="X28" s="6" t="n">
        <f aca="false">Assumptions!$B$27</f>
        <v>7500</v>
      </c>
      <c r="Y28" s="6" t="n">
        <f aca="false">Assumptions!$B$27</f>
        <v>7500</v>
      </c>
      <c r="Z28" s="6" t="n">
        <f aca="false">SUM(B28:M28)</f>
        <v>90000</v>
      </c>
      <c r="AA28" s="6" t="n">
        <f aca="false">SUM(N28:Y28)</f>
        <v>90000</v>
      </c>
    </row>
    <row r="29" customFormat="false" ht="15" hidden="false" customHeight="false" outlineLevel="0" collapsed="false">
      <c r="A29" s="1" t="s">
        <v>101</v>
      </c>
      <c r="B29" s="7" t="n">
        <f aca="false">SUM(B21:B28)</f>
        <v>9755</v>
      </c>
      <c r="C29" s="7" t="n">
        <f aca="false">SUM(C21:C28)</f>
        <v>9765</v>
      </c>
      <c r="D29" s="7" t="n">
        <f aca="false">SUM(D21:D28)</f>
        <v>9775</v>
      </c>
      <c r="E29" s="7" t="n">
        <f aca="false">SUM(E21:E28)</f>
        <v>9785</v>
      </c>
      <c r="F29" s="7" t="n">
        <f aca="false">SUM(F21:F28)</f>
        <v>9795</v>
      </c>
      <c r="G29" s="7" t="n">
        <f aca="false">SUM(G21:G28)</f>
        <v>9805</v>
      </c>
      <c r="H29" s="7" t="n">
        <f aca="false">SUM(H21:H28)</f>
        <v>11840</v>
      </c>
      <c r="I29" s="7" t="n">
        <f aca="false">SUM(I21:I28)</f>
        <v>13115</v>
      </c>
      <c r="J29" s="7" t="n">
        <f aca="false">SUM(J21:J28)</f>
        <v>23826</v>
      </c>
      <c r="K29" s="7" t="n">
        <f aca="false">SUM(K21:K28)</f>
        <v>25576</v>
      </c>
      <c r="L29" s="7" t="n">
        <f aca="false">SUM(L21:L28)</f>
        <v>27366</v>
      </c>
      <c r="M29" s="7" t="n">
        <f aca="false">SUM(M21:M28)</f>
        <v>30411</v>
      </c>
      <c r="N29" s="7" t="n">
        <f aca="false">SUM(N21:N28)</f>
        <v>25421</v>
      </c>
      <c r="O29" s="7" t="n">
        <f aca="false">SUM(O21:O28)</f>
        <v>25560.3</v>
      </c>
      <c r="P29" s="7" t="n">
        <f aca="false">SUM(P21:P28)</f>
        <v>25698.207</v>
      </c>
      <c r="Q29" s="7" t="n">
        <f aca="false">SUM(Q21:Q28)</f>
        <v>25834.73493</v>
      </c>
      <c r="R29" s="7" t="n">
        <f aca="false">SUM(R21:R28)</f>
        <v>25969.8975807</v>
      </c>
      <c r="S29" s="7" t="n">
        <f aca="false">SUM(S21:S28)</f>
        <v>26103.708604893</v>
      </c>
      <c r="T29" s="7" t="n">
        <f aca="false">SUM(T21:T28)</f>
        <v>26236.1815188441</v>
      </c>
      <c r="U29" s="7" t="n">
        <f aca="false">SUM(U21:U28)</f>
        <v>26367.3297036556</v>
      </c>
      <c r="V29" s="7" t="n">
        <f aca="false">SUM(V21:V28)</f>
        <v>35498.1664066191</v>
      </c>
      <c r="W29" s="7" t="n">
        <f aca="false">SUM(W21:W28)</f>
        <v>35626.7047425529</v>
      </c>
      <c r="X29" s="7" t="n">
        <f aca="false">SUM(X21:X28)</f>
        <v>35753.9576951274</v>
      </c>
      <c r="Y29" s="7" t="n">
        <f aca="false">SUM(Y21:Y28)</f>
        <v>35879.9381181761</v>
      </c>
      <c r="Z29" s="7" t="n">
        <f aca="false">SUM(B29:M29)</f>
        <v>190814</v>
      </c>
      <c r="AA29" s="7" t="n">
        <f aca="false">SUM(N29:Y29)</f>
        <v>349950.126300568</v>
      </c>
    </row>
    <row r="30" customFormat="false" ht="15" hidden="false" customHeight="false" outlineLevel="0" collapsed="false">
      <c r="A30" s="1" t="s">
        <v>102</v>
      </c>
      <c r="B30" s="7" t="n">
        <f aca="false">B18-B29</f>
        <v>-9506</v>
      </c>
      <c r="C30" s="7" t="n">
        <f aca="false">C18-C29</f>
        <v>-9018</v>
      </c>
      <c r="D30" s="7" t="n">
        <f aca="false">D18-D29</f>
        <v>-8530</v>
      </c>
      <c r="E30" s="7" t="n">
        <f aca="false">E18-E29</f>
        <v>-8042</v>
      </c>
      <c r="F30" s="7" t="n">
        <f aca="false">F18-F29</f>
        <v>-7554</v>
      </c>
      <c r="G30" s="7" t="n">
        <f aca="false">G18-G29</f>
        <v>-7066</v>
      </c>
      <c r="H30" s="7" t="n">
        <f aca="false">H18-H29</f>
        <v>-7358</v>
      </c>
      <c r="I30" s="7" t="n">
        <f aca="false">I18-I29</f>
        <v>-4898</v>
      </c>
      <c r="J30" s="7" t="n">
        <f aca="false">J18-J29</f>
        <v>-10131</v>
      </c>
      <c r="K30" s="7" t="n">
        <f aca="false">K18-K29</f>
        <v>-4411</v>
      </c>
      <c r="L30" s="7" t="n">
        <f aca="false">L18-L29</f>
        <v>3261</v>
      </c>
      <c r="M30" s="7" t="n">
        <f aca="false">M18-M29</f>
        <v>12417</v>
      </c>
      <c r="N30" s="7" t="n">
        <f aca="false">N18-N29</f>
        <v>27865</v>
      </c>
      <c r="O30" s="7" t="n">
        <f aca="false">O18-O29</f>
        <v>34662.84</v>
      </c>
      <c r="P30" s="7" t="n">
        <f aca="false">P18-P29</f>
        <v>41392.7016</v>
      </c>
      <c r="Q30" s="7" t="n">
        <f aca="false">Q18-Q29</f>
        <v>48055.264584</v>
      </c>
      <c r="R30" s="7" t="n">
        <f aca="false">R18-R29</f>
        <v>54651.20193816</v>
      </c>
      <c r="S30" s="7" t="n">
        <f aca="false">S18-S29</f>
        <v>61181.1799187784</v>
      </c>
      <c r="T30" s="7" t="n">
        <f aca="false">T18-T29</f>
        <v>67645.8581195906</v>
      </c>
      <c r="U30" s="7" t="n">
        <f aca="false">U18-U29</f>
        <v>74045.8895383947</v>
      </c>
      <c r="V30" s="7" t="n">
        <f aca="false">V18-V29</f>
        <v>71380.9206430108</v>
      </c>
      <c r="W30" s="7" t="n">
        <f aca="false">W18-W29</f>
        <v>77653.5914365807</v>
      </c>
      <c r="X30" s="7" t="n">
        <f aca="false">X18-X29</f>
        <v>83863.5355222149</v>
      </c>
      <c r="Y30" s="7" t="n">
        <f aca="false">Y18-Y29</f>
        <v>90011.3801669927</v>
      </c>
      <c r="Z30" s="7" t="n">
        <f aca="false">SUM(B30:M30)</f>
        <v>-60836</v>
      </c>
      <c r="AA30" s="7" t="n">
        <f aca="false">SUM(N30:Y30)</f>
        <v>732409.363467723</v>
      </c>
    </row>
    <row r="31" customFormat="false" ht="15" hidden="false" customHeight="false" outlineLevel="0" collapsed="false">
      <c r="A31" s="0" t="s">
        <v>103</v>
      </c>
      <c r="B31" s="6" t="n">
        <f aca="false">MAX(0,Assumptions!$B$28*MAX(0,SUM($B30:B30))-0)</f>
        <v>0</v>
      </c>
      <c r="C31" s="6" t="n">
        <f aca="false">MAX(0,Assumptions!$B$28*MAX(0,SUM($B30:C30))-SUM($B31:B31))</f>
        <v>0</v>
      </c>
      <c r="D31" s="6" t="n">
        <f aca="false">MAX(0,Assumptions!$B$28*MAX(0,SUM($B30:D30))-SUM($B31:C31))</f>
        <v>0</v>
      </c>
      <c r="E31" s="6" t="n">
        <f aca="false">MAX(0,Assumptions!$B$28*MAX(0,SUM($B30:E30))-SUM($B31:D31))</f>
        <v>0</v>
      </c>
      <c r="F31" s="6" t="n">
        <f aca="false">MAX(0,Assumptions!$B$28*MAX(0,SUM($B30:F30))-SUM($B31:E31))</f>
        <v>0</v>
      </c>
      <c r="G31" s="6" t="n">
        <f aca="false">MAX(0,Assumptions!$B$28*MAX(0,SUM($B30:G30))-SUM($B31:F31))</f>
        <v>0</v>
      </c>
      <c r="H31" s="6" t="n">
        <f aca="false">MAX(0,Assumptions!$B$28*MAX(0,SUM($B30:H30))-SUM($B31:G31))</f>
        <v>0</v>
      </c>
      <c r="I31" s="6" t="n">
        <f aca="false">MAX(0,Assumptions!$B$28*MAX(0,SUM($B30:I30))-SUM($B31:H31))</f>
        <v>0</v>
      </c>
      <c r="J31" s="6" t="n">
        <f aca="false">MAX(0,Assumptions!$B$28*MAX(0,SUM($B30:J30))-SUM($B31:I31))</f>
        <v>0</v>
      </c>
      <c r="K31" s="6" t="n">
        <f aca="false">MAX(0,Assumptions!$B$28*MAX(0,SUM($B30:K30))-SUM($B31:J31))</f>
        <v>0</v>
      </c>
      <c r="L31" s="6" t="n">
        <f aca="false">MAX(0,Assumptions!$B$28*MAX(0,SUM($B30:L30))-SUM($B31:K31))</f>
        <v>0</v>
      </c>
      <c r="M31" s="6" t="n">
        <f aca="false">MAX(0,Assumptions!$B$28*MAX(0,SUM($B30:M30))-SUM($B31:L31))</f>
        <v>0</v>
      </c>
      <c r="N31" s="6" t="n">
        <f aca="false">MAX(0,Assumptions!$B$28*MAX(0,SUM($B30:N30))-SUM($B31:M31))</f>
        <v>0</v>
      </c>
      <c r="O31" s="6" t="n">
        <f aca="false">MAX(0,Assumptions!$B$28*MAX(0,SUM($B30:O30))-SUM($B31:N31))</f>
        <v>422.960000000003</v>
      </c>
      <c r="P31" s="6" t="n">
        <f aca="false">MAX(0,Assumptions!$B$28*MAX(0,SUM($B30:P30))-SUM($B31:O31))</f>
        <v>10348.1754</v>
      </c>
      <c r="Q31" s="6" t="n">
        <f aca="false">MAX(0,Assumptions!$B$28*MAX(0,SUM($B30:Q30))-SUM($B31:P31))</f>
        <v>12013.816146</v>
      </c>
      <c r="R31" s="6" t="n">
        <f aca="false">MAX(0,Assumptions!$B$28*MAX(0,SUM($B30:R30))-SUM($B31:Q31))</f>
        <v>13662.80048454</v>
      </c>
      <c r="S31" s="6" t="n">
        <f aca="false">MAX(0,Assumptions!$B$28*MAX(0,SUM($B30:S30))-SUM($B31:R31))</f>
        <v>15295.2949796946</v>
      </c>
      <c r="T31" s="6" t="n">
        <f aca="false">MAX(0,Assumptions!$B$28*MAX(0,SUM($B30:T30))-SUM($B31:S31))</f>
        <v>16911.4645298977</v>
      </c>
      <c r="U31" s="6" t="n">
        <f aca="false">MAX(0,Assumptions!$B$28*MAX(0,SUM($B30:U30))-SUM($B31:T31))</f>
        <v>18511.4723845987</v>
      </c>
      <c r="V31" s="6" t="n">
        <f aca="false">MAX(0,Assumptions!$B$28*MAX(0,SUM($B30:V30))-SUM($B31:U31))</f>
        <v>17845.2301607527</v>
      </c>
      <c r="W31" s="6" t="n">
        <f aca="false">MAX(0,Assumptions!$B$28*MAX(0,SUM($B30:W30))-SUM($B31:V31))</f>
        <v>19413.3978591452</v>
      </c>
      <c r="X31" s="6" t="n">
        <f aca="false">MAX(0,Assumptions!$B$28*MAX(0,SUM($B30:X30))-SUM($B31:W31))</f>
        <v>20965.8838805537</v>
      </c>
      <c r="Y31" s="6" t="n">
        <f aca="false">MAX(0,Assumptions!$B$28*MAX(0,SUM($B30:Y30))-SUM($B31:X31))</f>
        <v>22502.8450417482</v>
      </c>
      <c r="Z31" s="6" t="n">
        <f aca="false">SUM(B31:M31)</f>
        <v>0</v>
      </c>
      <c r="AA31" s="6" t="n">
        <f aca="false">SUM(N31:Y31)</f>
        <v>167893.340866931</v>
      </c>
    </row>
    <row r="32" customFormat="false" ht="15" hidden="false" customHeight="false" outlineLevel="0" collapsed="false">
      <c r="A32" s="1" t="s">
        <v>104</v>
      </c>
      <c r="B32" s="7" t="n">
        <f aca="false">B30-B31</f>
        <v>-9506</v>
      </c>
      <c r="C32" s="7" t="n">
        <f aca="false">C30-C31</f>
        <v>-9018</v>
      </c>
      <c r="D32" s="7" t="n">
        <f aca="false">D30-D31</f>
        <v>-8530</v>
      </c>
      <c r="E32" s="7" t="n">
        <f aca="false">E30-E31</f>
        <v>-8042</v>
      </c>
      <c r="F32" s="7" t="n">
        <f aca="false">F30-F31</f>
        <v>-7554</v>
      </c>
      <c r="G32" s="7" t="n">
        <f aca="false">G30-G31</f>
        <v>-7066</v>
      </c>
      <c r="H32" s="7" t="n">
        <f aca="false">H30-H31</f>
        <v>-7358</v>
      </c>
      <c r="I32" s="7" t="n">
        <f aca="false">I30-I31</f>
        <v>-4898</v>
      </c>
      <c r="J32" s="7" t="n">
        <f aca="false">J30-J31</f>
        <v>-10131</v>
      </c>
      <c r="K32" s="7" t="n">
        <f aca="false">K30-K31</f>
        <v>-4411</v>
      </c>
      <c r="L32" s="7" t="n">
        <f aca="false">L30-L31</f>
        <v>3261</v>
      </c>
      <c r="M32" s="7" t="n">
        <f aca="false">M30-M31</f>
        <v>12417</v>
      </c>
      <c r="N32" s="7" t="n">
        <f aca="false">N30-N31</f>
        <v>27865</v>
      </c>
      <c r="O32" s="7" t="n">
        <f aca="false">O30-O31</f>
        <v>34239.88</v>
      </c>
      <c r="P32" s="7" t="n">
        <f aca="false">P30-P31</f>
        <v>31044.5262</v>
      </c>
      <c r="Q32" s="7" t="n">
        <f aca="false">Q30-Q31</f>
        <v>36041.448438</v>
      </c>
      <c r="R32" s="7" t="n">
        <f aca="false">R30-R31</f>
        <v>40988.40145362</v>
      </c>
      <c r="S32" s="7" t="n">
        <f aca="false">S30-S31</f>
        <v>45885.8849390838</v>
      </c>
      <c r="T32" s="7" t="n">
        <f aca="false">T30-T31</f>
        <v>50734.393589693</v>
      </c>
      <c r="U32" s="7" t="n">
        <f aca="false">U30-U31</f>
        <v>55534.417153796</v>
      </c>
      <c r="V32" s="7" t="n">
        <f aca="false">V30-V31</f>
        <v>53535.6904822581</v>
      </c>
      <c r="W32" s="7" t="n">
        <f aca="false">W30-W31</f>
        <v>58240.1935774355</v>
      </c>
      <c r="X32" s="7" t="n">
        <f aca="false">X30-X31</f>
        <v>62897.6516416611</v>
      </c>
      <c r="Y32" s="7" t="n">
        <f aca="false">Y30-Y31</f>
        <v>67508.5351252445</v>
      </c>
      <c r="Z32" s="7" t="n">
        <f aca="false">SUM(B32:M32)</f>
        <v>-60836</v>
      </c>
      <c r="AA32" s="7" t="n">
        <f aca="false">SUM(N32:Y32)</f>
        <v>564516.022600792</v>
      </c>
    </row>
    <row r="33" customFormat="false" ht="15" hidden="false" customHeight="false" outlineLevel="0" collapsed="false">
      <c r="A33" s="0" t="s">
        <v>105</v>
      </c>
      <c r="B33" s="6" t="n">
        <f aca="false">SUM($B32:B32)</f>
        <v>-9506</v>
      </c>
      <c r="C33" s="6" t="n">
        <f aca="false">SUM($B32:C32)</f>
        <v>-18524</v>
      </c>
      <c r="D33" s="6" t="n">
        <f aca="false">SUM($B32:D32)</f>
        <v>-27054</v>
      </c>
      <c r="E33" s="6" t="n">
        <f aca="false">SUM($B32:E32)</f>
        <v>-35096</v>
      </c>
      <c r="F33" s="6" t="n">
        <f aca="false">SUM($B32:F32)</f>
        <v>-42650</v>
      </c>
      <c r="G33" s="6" t="n">
        <f aca="false">SUM($B32:G32)</f>
        <v>-49716</v>
      </c>
      <c r="H33" s="6" t="n">
        <f aca="false">SUM($B32:H32)</f>
        <v>-57074</v>
      </c>
      <c r="I33" s="6" t="n">
        <f aca="false">SUM($B32:I32)</f>
        <v>-61972</v>
      </c>
      <c r="J33" s="6" t="n">
        <f aca="false">SUM($B32:J32)</f>
        <v>-72103</v>
      </c>
      <c r="K33" s="6" t="n">
        <f aca="false">SUM($B32:K32)</f>
        <v>-76514</v>
      </c>
      <c r="L33" s="6" t="n">
        <f aca="false">SUM($B32:L32)</f>
        <v>-73253</v>
      </c>
      <c r="M33" s="6" t="n">
        <f aca="false">SUM($B32:M32)</f>
        <v>-60836</v>
      </c>
      <c r="N33" s="6" t="n">
        <f aca="false">SUM($B32:N32)</f>
        <v>-32971</v>
      </c>
      <c r="O33" s="6" t="n">
        <f aca="false">SUM($B32:O32)</f>
        <v>1268.88</v>
      </c>
      <c r="P33" s="6" t="n">
        <f aca="false">SUM($B32:P32)</f>
        <v>32313.4062</v>
      </c>
      <c r="Q33" s="6" t="n">
        <f aca="false">SUM($B32:Q32)</f>
        <v>68354.854638</v>
      </c>
      <c r="R33" s="6" t="n">
        <f aca="false">SUM($B32:R32)</f>
        <v>109343.25609162</v>
      </c>
      <c r="S33" s="6" t="n">
        <f aca="false">SUM($B32:S32)</f>
        <v>155229.141030704</v>
      </c>
      <c r="T33" s="6" t="n">
        <f aca="false">SUM($B32:T32)</f>
        <v>205963.534620397</v>
      </c>
      <c r="U33" s="6" t="n">
        <f aca="false">SUM($B32:U32)</f>
        <v>261497.951774193</v>
      </c>
      <c r="V33" s="6" t="n">
        <f aca="false">SUM($B32:V32)</f>
        <v>315033.642256451</v>
      </c>
      <c r="W33" s="6" t="n">
        <f aca="false">SUM($B32:W32)</f>
        <v>373273.835833886</v>
      </c>
      <c r="X33" s="6" t="n">
        <f aca="false">SUM($B32:X32)</f>
        <v>436171.487475548</v>
      </c>
      <c r="Y33" s="6" t="n">
        <f aca="false">SUM($B32:Y32)</f>
        <v>503680.022600792</v>
      </c>
      <c r="Z33" s="6" t="n">
        <f aca="false">M33</f>
        <v>-60836</v>
      </c>
      <c r="AA33" s="6" t="n">
        <f aca="false">Y33</f>
        <v>503680.022600792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2026-10-08T01:22:10Z</dcterms:created>
  <dc:creator>openpyxl</dc:creator>
  <dc:description/>
  <dc:language>en-US</dc:language>
  <cp:lastModifiedBy/>
  <dcterms:modified xsi:type="dcterms:W3CDTF">2026-10-08T01:22:10Z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