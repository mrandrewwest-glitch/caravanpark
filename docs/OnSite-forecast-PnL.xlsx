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P&amp;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<sst xmlns="http://schemas.openxmlformats.org/spreadsheetml/2006/main" count="90" uniqueCount="84">
  <si>
    <t xml:space="preserve">OnSite - forecast assumptions (blue = editable inputs). All amounts AUD, excluding GST.</t>
  </si>
  <si>
    <t xml:space="preserve">REVENUE (per park, AUD, ex GST)</t>
  </si>
  <si>
    <t xml:space="preserve">Monthly fee</t>
  </si>
  <si>
    <t xml:space="preserve">docs/MODES-AND-PAYMENTS.md; parks.js billing</t>
  </si>
  <si>
    <t xml:space="preserve">Fee per answered call</t>
  </si>
  <si>
    <t xml:space="preserve">same</t>
  </si>
  <si>
    <t xml:space="preserve">Answered (billable) calls per park per week</t>
  </si>
  <si>
    <t xml:space="preserve">Your assumption</t>
  </si>
  <si>
    <t xml:space="preserve">Weeks per month</t>
  </si>
  <si>
    <t xml:space="preserve">52 weeks / 12</t>
  </si>
  <si>
    <t xml:space="preserve">VARIABLE COST PER ANSWERED CALL</t>
  </si>
  <si>
    <t xml:space="preserve">Twilio voice (inbound + ConversationRelay, ~2 min call)</t>
  </si>
  <si>
    <t xml:space="preserve">docs/TWILIO.md rates: A$0.01 + A$0.07 per min</t>
  </si>
  <si>
    <t xml:space="preserve">Staff-transfer leg (avg)</t>
  </si>
  <si>
    <t xml:space="preserve">~10% of calls x ~1 min x A$0.075</t>
  </si>
  <si>
    <t xml:space="preserve">Claude (extraction + replies)</t>
  </si>
  <si>
    <t xml:space="preserve">ASSUMED - measure in pilot</t>
  </si>
  <si>
    <t xml:space="preserve">SMS (summary, pay link, confirmation, reminders)</t>
  </si>
  <si>
    <t xml:space="preserve">ASSUMED ~2 texts x A$0.10</t>
  </si>
  <si>
    <t xml:space="preserve">Non-billable calls overhead (spam/abandoned)</t>
  </si>
  <si>
    <t xml:space="preserve">ASSUMED</t>
  </si>
  <si>
    <t xml:space="preserve">PER-PARK MONTHLY COSTS</t>
  </si>
  <si>
    <t xml:space="preserve">Twilio numbers (voice + SMS)</t>
  </si>
  <si>
    <t xml:space="preserve">A$3/month each (docs/TWILIO.md)</t>
  </si>
  <si>
    <t xml:space="preserve">Customer support</t>
  </si>
  <si>
    <t xml:space="preserve">ASSUMED ~0.5 hr/park/month</t>
  </si>
  <si>
    <t xml:space="preserve">Hosting variable (per park)</t>
  </si>
  <si>
    <t xml:space="preserve">ONE-OFF / FIXED</t>
  </si>
  <si>
    <t xml:space="preserve">Sales &amp; onboarding cost per new park (CAC)</t>
  </si>
  <si>
    <t xml:space="preserve">ASSUMED demos, events, outreach</t>
  </si>
  <si>
    <t xml:space="preserve">Onboarding/setup cost per new park</t>
  </si>
  <si>
    <t xml:space="preserve">ASSUMED NewBook link, number setup</t>
  </si>
  <si>
    <t xml:space="preserve">Hosting base (always-on container, DB, logs)</t>
  </si>
  <si>
    <t xml:space="preserve">Marketing fixed (website, ads)</t>
  </si>
  <si>
    <t xml:space="preserve">Insurance, accounting, legal, software</t>
  </si>
  <si>
    <t xml:space="preserve">Founder salary (fully loaded)</t>
  </si>
  <si>
    <t xml:space="preserve">ASSUMED - set to 0 to see cash profit</t>
  </si>
  <si>
    <t xml:space="preserve">Company tax rate</t>
  </si>
  <si>
    <t xml:space="preserve">Base-rate entity; losses carried forward</t>
  </si>
  <si>
    <t xml:space="preserve">Calls per park per month</t>
  </si>
  <si>
    <t xml:space="preserve">New parks signed per month (growth plan)</t>
  </si>
  <si>
    <t xml:space="preserve">Month</t>
  </si>
  <si>
    <t xml:space="preserve">New parks</t>
  </si>
  <si>
    <t xml:space="preserve">OnSite - 12-month forecast profit &amp; loss (AUD, ex GST)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</si>
  <si>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</si>
  <si>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</si>
  <si>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</si>
  <si>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</si>
  <si>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</si>
  <si>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</si>
  <si>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</si>
  <si>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</si>
  <si>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</si>
  <si>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</si>
  <si>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</si>
  <si>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</si>
  <si>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Year 1</t>
  </si>
  <si>
    <t xml:space="preserve">New parks signed</t>
  </si>
  <si>
    <t xml:space="preserve">Parks at start</t>
  </si>
  <si>
    <t xml:space="preserve">Parks at end</t>
  </si>
  <si>
    <t xml:space="preserve">Average billed parks</t>
  </si>
  <si>
    <t xml:space="preserve">Answered calls</t>
  </si>
  <si>
    <t xml:space="preserve">REVENUE</t>
  </si>
  <si>
    <t xml:space="preserve">Monthly fees</t>
  </si>
  <si>
    <t xml:space="preserve">Per-call fees</t>
  </si>
  <si>
    <t xml:space="preserve">Total revenue</t>
  </si>
  <si>
    <t xml:space="preserve">COST OF SERVICE</t>
  </si>
  <si>
    <t xml:space="preserve">Voice, Claude &amp; SMS (per call)</t>
  </si>
  <si>
    <t xml:space="preserve">Twilio numbers</t>
  </si>
  <si>
    <t xml:space="preserve">Hosting (variable)</t>
  </si>
  <si>
    <t xml:space="preserve">Total cost of service</t>
  </si>
  <si>
    <t xml:space="preserve">Gross profit</t>
  </si>
  <si>
    <t xml:space="preserve">Gross margin %</t>
  </si>
  <si>
    <t xml:space="preserve">OPERATING EXPENSES</t>
  </si>
  <si>
    <t xml:space="preserve">Sales &amp; onboarding</t>
  </si>
  <si>
    <t xml:space="preserve">Hosting base</t>
  </si>
  <si>
    <t xml:space="preserve">Marketing</t>
  </si>
  <si>
    <t xml:space="preserve">Insurance, accounting, legal</t>
  </si>
  <si>
    <t xml:space="preserve">Founder salary</t>
  </si>
  <si>
    <t xml:space="preserve">Total operating expenses</t>
  </si>
  <si>
    <t xml:space="preserve">EBITDA / profit before tax</t>
  </si>
  <si>
    <t xml:space="preserve">Income tax</t>
  </si>
  <si>
    <t xml:space="preserve">Net profit</t>
  </si>
  <si>
    <t xml:space="preserve">Cumulative net profit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</si>
</sst>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0" t="s">
        <v>2</v>
      </c>
      <c r="B4" s="3" t="n">
        <v>100</v>
      </c>
      <c r="C4" s="4" t="s">
        <v>3</v>
      </c>
    </row>
    <row r="5" customFormat="false" ht="15" hidden="false" customHeight="false" outlineLevel="0" collapsed="false">
      <c r="A5" s="0" t="s">
        <v>4</v>
      </c>
      <c r="B5" s="3" t="n">
        <v>3</v>
      </c>
      <c r="C5" s="4" t="s">
        <v>5</v>
      </c>
    </row>
    <row r="6" customFormat="false" ht="15" hidden="false" customHeight="false" outlineLevel="0" collapsed="false">
      <c r="A6" s="0" t="s">
        <v>6</v>
      </c>
      <c r="B6" s="3" t="n">
        <v>15</v>
      </c>
      <c r="C6" s="4" t="s">
        <v>7</v>
      </c>
    </row>
    <row r="7" customFormat="false" ht="15" hidden="false" customHeight="false" outlineLevel="0" collapsed="false">
      <c r="A7" s="0" t="s">
        <v>8</v>
      </c>
      <c r="B7" s="3" t="n">
        <v>4.33333333333333</v>
      </c>
      <c r="C7" s="4" t="s">
        <v>9</v>
      </c>
    </row>
    <row r="8" customFormat="false" ht="15" hidden="false" customHeight="false" outlineLevel="0" collapsed="false">
      <c r="A8" s="2" t="s">
        <v>10</v>
      </c>
    </row>
    <row r="9" customFormat="false" ht="15" hidden="false" customHeight="false" outlineLevel="0" collapsed="false">
      <c r="A9" s="0" t="s">
        <v>11</v>
      </c>
      <c r="B9" s="3" t="n">
        <v>0.16</v>
      </c>
      <c r="C9" s="4" t="s">
        <v>12</v>
      </c>
    </row>
    <row r="10" customFormat="false" ht="15" hidden="false" customHeight="false" outlineLevel="0" collapsed="false">
      <c r="A10" s="0" t="s">
        <v>13</v>
      </c>
      <c r="B10" s="3" t="n">
        <v>0.01</v>
      </c>
      <c r="C10" s="4" t="s">
        <v>14</v>
      </c>
    </row>
    <row r="11" customFormat="false" ht="15" hidden="false" customHeight="false" outlineLevel="0" collapsed="false">
      <c r="A11" s="0" t="s">
        <v>15</v>
      </c>
      <c r="B11" s="3" t="n">
        <v>0.2</v>
      </c>
      <c r="C11" s="4" t="s">
        <v>16</v>
      </c>
    </row>
    <row r="12" customFormat="false" ht="15" hidden="false" customHeight="false" outlineLevel="0" collapsed="false">
      <c r="A12" s="0" t="s">
        <v>17</v>
      </c>
      <c r="B12" s="3" t="n">
        <v>0.2</v>
      </c>
      <c r="C12" s="4" t="s">
        <v>18</v>
      </c>
    </row>
    <row r="13" customFormat="false" ht="15" hidden="false" customHeight="false" outlineLevel="0" collapsed="false">
      <c r="A13" s="0" t="s">
        <v>19</v>
      </c>
      <c r="B13" s="3" t="n">
        <v>0.03</v>
      </c>
      <c r="C13" s="4" t="s">
        <v>20</v>
      </c>
    </row>
    <row r="14" customFormat="false" ht="15" hidden="false" customHeight="false" outlineLevel="0" collapsed="false">
      <c r="A14" s="2" t="s">
        <v>21</v>
      </c>
    </row>
    <row r="15" customFormat="false" ht="15" hidden="false" customHeight="false" outlineLevel="0" collapsed="false">
      <c r="A15" s="0" t="s">
        <v>22</v>
      </c>
      <c r="B15" s="3" t="n">
        <v>6</v>
      </c>
      <c r="C15" s="4" t="s">
        <v>23</v>
      </c>
    </row>
    <row r="16" customFormat="false" ht="15" hidden="false" customHeight="false" outlineLevel="0" collapsed="false">
      <c r="A16" s="0" t="s">
        <v>24</v>
      </c>
      <c r="B16" s="3" t="n">
        <v>25</v>
      </c>
      <c r="C16" s="4" t="s">
        <v>25</v>
      </c>
    </row>
    <row r="17" customFormat="false" ht="15" hidden="false" customHeight="false" outlineLevel="0" collapsed="false">
      <c r="A17" s="0" t="s">
        <v>26</v>
      </c>
      <c r="B17" s="3" t="n">
        <v>1</v>
      </c>
      <c r="C17" s="4" t="s">
        <v>20</v>
      </c>
    </row>
    <row r="18" customFormat="false" ht="15" hidden="false" customHeight="false" outlineLevel="0" collapsed="false">
      <c r="A18" s="2" t="s">
        <v>27</v>
      </c>
    </row>
    <row r="19" customFormat="false" ht="15" hidden="false" customHeight="false" outlineLevel="0" collapsed="false">
      <c r="A19" s="0" t="s">
        <v>28</v>
      </c>
      <c r="B19" s="3" t="n">
        <v>300</v>
      </c>
      <c r="C19" s="4" t="s">
        <v>29</v>
      </c>
    </row>
    <row r="20" customFormat="false" ht="15" hidden="false" customHeight="false" outlineLevel="0" collapsed="false">
      <c r="A20" s="0" t="s">
        <v>30</v>
      </c>
      <c r="B20" s="3" t="n">
        <v>150</v>
      </c>
      <c r="C20" s="4" t="s">
        <v>31</v>
      </c>
    </row>
    <row r="21" customFormat="false" ht="15" hidden="false" customHeight="false" outlineLevel="0" collapsed="false">
      <c r="A21" s="0" t="s">
        <v>32</v>
      </c>
      <c r="B21" s="3" t="n">
        <v>150</v>
      </c>
      <c r="C21" s="4" t="s">
        <v>20</v>
      </c>
    </row>
    <row r="22" customFormat="false" ht="15" hidden="false" customHeight="false" outlineLevel="0" collapsed="false">
      <c r="A22" s="0" t="s">
        <v>33</v>
      </c>
      <c r="B22" s="3" t="n">
        <v>500</v>
      </c>
      <c r="C22" s="4" t="s">
        <v>20</v>
      </c>
    </row>
    <row r="23" customFormat="false" ht="15" hidden="false" customHeight="false" outlineLevel="0" collapsed="false">
      <c r="A23" s="0" t="s">
        <v>34</v>
      </c>
      <c r="B23" s="3" t="n">
        <v>1200</v>
      </c>
      <c r="C23" s="4" t="s">
        <v>20</v>
      </c>
    </row>
    <row r="24" customFormat="false" ht="15" hidden="false" customHeight="false" outlineLevel="0" collapsed="false">
      <c r="A24" s="0" t="s">
        <v>35</v>
      </c>
      <c r="B24" s="3" t="n">
        <v>7500</v>
      </c>
      <c r="C24" s="4" t="s">
        <v>36</v>
      </c>
    </row>
    <row r="25" customFormat="false" ht="15" hidden="false" customHeight="false" outlineLevel="0" collapsed="false">
      <c r="A25" s="0" t="s">
        <v>37</v>
      </c>
      <c r="B25" s="3" t="n">
        <v>0.25</v>
      </c>
      <c r="C25" s="4" t="s">
        <v>38</v>
      </c>
    </row>
    <row r="27" customFormat="false" ht="15" hidden="false" customHeight="false" outlineLevel="0" collapsed="false">
      <c r="A27" s="0" t="s">
        <v>39</v>
      </c>
      <c r="B27" s="0" t="n">
        <f aca="false">$B$6*$B$7</f>
        <v>65</v>
      </c>
    </row>
    <row r="29" customFormat="false" ht="15" hidden="false" customHeight="false" outlineLevel="0" collapsed="false">
      <c r="A29" s="1" t="s">
        <v>40</v>
      </c>
    </row>
    <row r="30" customFormat="false" ht="15" hidden="false" customHeight="false" outlineLevel="0" collapsed="false">
      <c r="A30" s="0" t="s">
        <v>41</v>
      </c>
      <c r="B30" s="0" t="n">
        <v>1</v>
      </c>
      <c r="C30" s="0" t="n">
        <v>2</v>
      </c>
      <c r="D30" s="0" t="n">
        <v>3</v>
      </c>
      <c r="E30" s="0" t="n">
        <v>4</v>
      </c>
      <c r="F30" s="0" t="n">
        <v>5</v>
      </c>
      <c r="G30" s="0" t="n">
        <v>6</v>
      </c>
      <c r="H30" s="0" t="n">
        <v>7</v>
      </c>
      <c r="I30" s="0" t="n">
        <v>8</v>
      </c>
      <c r="J30" s="0" t="n">
        <v>9</v>
      </c>
      <c r="K30" s="0" t="n">
        <v>10</v>
      </c>
      <c r="L30" s="0" t="n">
        <v>11</v>
      </c>
      <c r="M30" s="0" t="n">
        <v>12</v>
      </c>
    </row>
    <row r="31" customFormat="false" ht="15" hidden="false" customHeight="false" outlineLevel="0" collapsed="false">
      <c r="A31" s="0" t="s">
        <v>42</v>
      </c>
      <c r="B31" s="3" t="n">
        <v>2</v>
      </c>
      <c r="C31" s="3" t="n">
        <v>2</v>
      </c>
      <c r="D31" s="3" t="n">
        <v>2</v>
      </c>
      <c r="E31" s="3" t="n">
        <v>2</v>
      </c>
      <c r="F31" s="3" t="n">
        <v>2</v>
      </c>
      <c r="G31" s="3" t="n">
        <v>2</v>
      </c>
      <c r="H31" s="3" t="n">
        <v>12</v>
      </c>
      <c r="I31" s="3" t="n">
        <v>18</v>
      </c>
      <c r="J31" s="3" t="n">
        <v>26</v>
      </c>
      <c r="K31" s="3" t="n">
        <v>34</v>
      </c>
      <c r="L31" s="3" t="n">
        <v>42</v>
      </c>
      <c r="M31" s="3" t="n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4" min="2" style="0" width="11"/>
  </cols>
  <sheetData>
    <row r="1" customFormat="false" ht="15" hidden="false" customHeight="false" outlineLevel="0" collapsed="false">
      <c r="A1" s="1" t="s">
        <v>43</v>
      </c>
    </row>
    <row r="2" customFormat="false" ht="15" hidden="false" customHeight="false" outlineLevel="0" collapsed="false">
      <c r="A2" s="0" t="s">
        <v>41</v>
      </c>
      <c r="B2" s="2" t="s">
        <v>44</v>
      </c>
      <c r="C2" s="2" t="s">
        <v>45</v>
      </c>
      <c r="D2" s="2" t="s">
        <v>46</v>
      </c>
      <c r="E2" s="2" t="s">
        <v>47</v>
      </c>
      <c r="F2" s="2" t="s">
        <v>48</v>
      </c>
      <c r="G2" s="2" t="s">
        <v>49</v>
      </c>
      <c r="H2" s="2" t="s">
        <v>50</v>
      </c>
      <c r="I2" s="2" t="s">
        <v>51</v>
      </c>
      <c r="J2" s="2" t="s">
        <v>52</v>
      </c>
      <c r="K2" s="2" t="s">
        <v>53</v>
      </c>
      <c r="L2" s="2" t="s">
        <v>54</v>
      </c>
      <c r="M2" s="2" t="s">
        <v>55</v>
      </c>
      <c r="N2" s="2" t="s">
        <v>56</v>
      </c>
    </row>
    <row r="3" customFormat="false" ht="15" hidden="false" customHeight="false" outlineLevel="0" collapsed="false">
      <c r="A3" s="0" t="s">
        <v>57</v>
      </c>
      <c r="B3" s="5" t="n">
        <f aca="false">Assumptions!B31</f>
        <v>2</v>
      </c>
      <c r="C3" s="5" t="n">
        <f aca="false">Assumptions!C31</f>
        <v>2</v>
      </c>
      <c r="D3" s="5" t="n">
        <f aca="false">Assumptions!D31</f>
        <v>2</v>
      </c>
      <c r="E3" s="5" t="n">
        <f aca="false">Assumptions!E31</f>
        <v>2</v>
      </c>
      <c r="F3" s="5" t="n">
        <f aca="false">Assumptions!F31</f>
        <v>2</v>
      </c>
      <c r="G3" s="5" t="n">
        <f aca="false">Assumptions!G31</f>
        <v>2</v>
      </c>
      <c r="H3" s="5" t="n">
        <f aca="false">Assumptions!H31</f>
        <v>12</v>
      </c>
      <c r="I3" s="5" t="n">
        <f aca="false">Assumptions!I31</f>
        <v>18</v>
      </c>
      <c r="J3" s="5" t="n">
        <f aca="false">Assumptions!J31</f>
        <v>26</v>
      </c>
      <c r="K3" s="5" t="n">
        <f aca="false">Assumptions!K31</f>
        <v>34</v>
      </c>
      <c r="L3" s="5" t="n">
        <f aca="false">Assumptions!L31</f>
        <v>42</v>
      </c>
      <c r="M3" s="5" t="n">
        <f aca="false">Assumptions!M31</f>
        <v>56</v>
      </c>
      <c r="N3" s="5" t="n">
        <f aca="false">SUM(B3:M3)</f>
        <v>200</v>
      </c>
    </row>
    <row r="4" customFormat="false" ht="15" hidden="false" customHeight="false" outlineLevel="0" collapsed="false">
      <c r="A4" s="0" t="s">
        <v>58</v>
      </c>
      <c r="B4" s="5" t="n">
        <v>0</v>
      </c>
      <c r="C4" s="5" t="n">
        <f aca="false">B5</f>
        <v>2</v>
      </c>
      <c r="D4" s="5" t="n">
        <f aca="false">C5</f>
        <v>4</v>
      </c>
      <c r="E4" s="5" t="n">
        <f aca="false">D5</f>
        <v>6</v>
      </c>
      <c r="F4" s="5" t="n">
        <f aca="false">E5</f>
        <v>8</v>
      </c>
      <c r="G4" s="5" t="n">
        <f aca="false">F5</f>
        <v>10</v>
      </c>
      <c r="H4" s="5" t="n">
        <f aca="false">G5</f>
        <v>12</v>
      </c>
      <c r="I4" s="5" t="n">
        <f aca="false">H5</f>
        <v>24</v>
      </c>
      <c r="J4" s="5" t="n">
        <f aca="false">I5</f>
        <v>42</v>
      </c>
      <c r="K4" s="5" t="n">
        <f aca="false">J5</f>
        <v>68</v>
      </c>
      <c r="L4" s="5" t="n">
        <f aca="false">K5</f>
        <v>102</v>
      </c>
      <c r="M4" s="5" t="n">
        <f aca="false">L5</f>
        <v>144</v>
      </c>
      <c r="N4" s="5" t="n">
        <f aca="false">B4</f>
        <v>0</v>
      </c>
    </row>
    <row r="5" customFormat="false" ht="15" hidden="false" customHeight="false" outlineLevel="0" collapsed="false">
      <c r="A5" s="0" t="s">
        <v>59</v>
      </c>
      <c r="B5" s="5" t="n">
        <f aca="false">B4+B3</f>
        <v>2</v>
      </c>
      <c r="C5" s="5" t="n">
        <f aca="false">C4+C3</f>
        <v>4</v>
      </c>
      <c r="D5" s="5" t="n">
        <f aca="false">D4+D3</f>
        <v>6</v>
      </c>
      <c r="E5" s="5" t="n">
        <f aca="false">E4+E3</f>
        <v>8</v>
      </c>
      <c r="F5" s="5" t="n">
        <f aca="false">F4+F3</f>
        <v>10</v>
      </c>
      <c r="G5" s="5" t="n">
        <f aca="false">G4+G3</f>
        <v>12</v>
      </c>
      <c r="H5" s="5" t="n">
        <f aca="false">H4+H3</f>
        <v>24</v>
      </c>
      <c r="I5" s="5" t="n">
        <f aca="false">I4+I3</f>
        <v>42</v>
      </c>
      <c r="J5" s="5" t="n">
        <f aca="false">J4+J3</f>
        <v>68</v>
      </c>
      <c r="K5" s="5" t="n">
        <f aca="false">K4+K3</f>
        <v>102</v>
      </c>
      <c r="L5" s="5" t="n">
        <f aca="false">L4+L3</f>
        <v>144</v>
      </c>
      <c r="M5" s="5" t="n">
        <f aca="false">M4+M3</f>
        <v>200</v>
      </c>
      <c r="N5" s="5" t="n">
        <f aca="false">M5</f>
        <v>200</v>
      </c>
    </row>
    <row r="6" customFormat="false" ht="15" hidden="false" customHeight="false" outlineLevel="0" collapsed="false">
      <c r="A6" s="0" t="s">
        <v>60</v>
      </c>
      <c r="B6" s="5" t="n">
        <f aca="false">(B4+B5)/2</f>
        <v>1</v>
      </c>
      <c r="C6" s="5" t="n">
        <f aca="false">(C4+C5)/2</f>
        <v>3</v>
      </c>
      <c r="D6" s="5" t="n">
        <f aca="false">(D4+D5)/2</f>
        <v>5</v>
      </c>
      <c r="E6" s="5" t="n">
        <f aca="false">(E4+E5)/2</f>
        <v>7</v>
      </c>
      <c r="F6" s="5" t="n">
        <f aca="false">(F4+F5)/2</f>
        <v>9</v>
      </c>
      <c r="G6" s="5" t="n">
        <f aca="false">(G4+G5)/2</f>
        <v>11</v>
      </c>
      <c r="H6" s="5" t="n">
        <f aca="false">(H4+H5)/2</f>
        <v>18</v>
      </c>
      <c r="I6" s="5" t="n">
        <f aca="false">(I4+I5)/2</f>
        <v>33</v>
      </c>
      <c r="J6" s="5" t="n">
        <f aca="false">(J4+J5)/2</f>
        <v>55</v>
      </c>
      <c r="K6" s="5" t="n">
        <f aca="false">(K4+K5)/2</f>
        <v>85</v>
      </c>
      <c r="L6" s="5" t="n">
        <f aca="false">(L4+L5)/2</f>
        <v>123</v>
      </c>
      <c r="M6" s="5" t="n">
        <f aca="false">(M4+M5)/2</f>
        <v>172</v>
      </c>
      <c r="N6" s="5"/>
    </row>
    <row r="7" customFormat="false" ht="15" hidden="false" customHeight="false" outlineLevel="0" collapsed="false">
      <c r="A7" s="0" t="s">
        <v>61</v>
      </c>
      <c r="B7" s="5" t="n">
        <f aca="false">B6*Assumptions!$B$27</f>
        <v>65</v>
      </c>
      <c r="C7" s="5" t="n">
        <f aca="false">C6*Assumptions!$B$27</f>
        <v>195</v>
      </c>
      <c r="D7" s="5" t="n">
        <f aca="false">D6*Assumptions!$B$27</f>
        <v>325</v>
      </c>
      <c r="E7" s="5" t="n">
        <f aca="false">E6*Assumptions!$B$27</f>
        <v>455</v>
      </c>
      <c r="F7" s="5" t="n">
        <f aca="false">F6*Assumptions!$B$27</f>
        <v>585</v>
      </c>
      <c r="G7" s="5" t="n">
        <f aca="false">G6*Assumptions!$B$27</f>
        <v>715</v>
      </c>
      <c r="H7" s="5" t="n">
        <f aca="false">H6*Assumptions!$B$27</f>
        <v>1170</v>
      </c>
      <c r="I7" s="5" t="n">
        <f aca="false">I6*Assumptions!$B$27</f>
        <v>2145</v>
      </c>
      <c r="J7" s="5" t="n">
        <f aca="false">J6*Assumptions!$B$27</f>
        <v>3575</v>
      </c>
      <c r="K7" s="5" t="n">
        <f aca="false">K6*Assumptions!$B$27</f>
        <v>5525</v>
      </c>
      <c r="L7" s="5" t="n">
        <f aca="false">L6*Assumptions!$B$27</f>
        <v>7995</v>
      </c>
      <c r="M7" s="5" t="n">
        <f aca="false">M6*Assumptions!$B$27</f>
        <v>11180</v>
      </c>
      <c r="N7" s="5" t="n">
        <f aca="false">SUM(B7:M7)</f>
        <v>33930</v>
      </c>
    </row>
    <row r="8" customFormat="false" ht="15" hidden="false" customHeight="false" outlineLevel="0" collapsed="false">
      <c r="A8" s="2" t="s">
        <v>62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</row>
    <row r="9" customFormat="false" ht="15" hidden="false" customHeight="false" outlineLevel="0" collapsed="false">
      <c r="A9" s="0" t="s">
        <v>63</v>
      </c>
      <c r="B9" s="5" t="n">
        <f aca="false">B6*Assumptions!$B$4</f>
        <v>100</v>
      </c>
      <c r="C9" s="5" t="n">
        <f aca="false">C6*Assumptions!$B$4</f>
        <v>300</v>
      </c>
      <c r="D9" s="5" t="n">
        <f aca="false">D6*Assumptions!$B$4</f>
        <v>500</v>
      </c>
      <c r="E9" s="5" t="n">
        <f aca="false">E6*Assumptions!$B$4</f>
        <v>700</v>
      </c>
      <c r="F9" s="5" t="n">
        <f aca="false">F6*Assumptions!$B$4</f>
        <v>900</v>
      </c>
      <c r="G9" s="5" t="n">
        <f aca="false">G6*Assumptions!$B$4</f>
        <v>1100</v>
      </c>
      <c r="H9" s="5" t="n">
        <f aca="false">H6*Assumptions!$B$4</f>
        <v>1800</v>
      </c>
      <c r="I9" s="5" t="n">
        <f aca="false">I6*Assumptions!$B$4</f>
        <v>3300</v>
      </c>
      <c r="J9" s="5" t="n">
        <f aca="false">J6*Assumptions!$B$4</f>
        <v>5500</v>
      </c>
      <c r="K9" s="5" t="n">
        <f aca="false">K6*Assumptions!$B$4</f>
        <v>8500</v>
      </c>
      <c r="L9" s="5" t="n">
        <f aca="false">L6*Assumptions!$B$4</f>
        <v>12300</v>
      </c>
      <c r="M9" s="5" t="n">
        <f aca="false">M6*Assumptions!$B$4</f>
        <v>17200</v>
      </c>
      <c r="N9" s="5" t="n">
        <f aca="false">SUM(B9:M9)</f>
        <v>52200</v>
      </c>
    </row>
    <row r="10" customFormat="false" ht="15" hidden="false" customHeight="false" outlineLevel="0" collapsed="false">
      <c r="A10" s="0" t="s">
        <v>64</v>
      </c>
      <c r="B10" s="5" t="n">
        <f aca="false">B7*Assumptions!$B$5</f>
        <v>195</v>
      </c>
      <c r="C10" s="5" t="n">
        <f aca="false">C7*Assumptions!$B$5</f>
        <v>585</v>
      </c>
      <c r="D10" s="5" t="n">
        <f aca="false">D7*Assumptions!$B$5</f>
        <v>975</v>
      </c>
      <c r="E10" s="5" t="n">
        <f aca="false">E7*Assumptions!$B$5</f>
        <v>1365</v>
      </c>
      <c r="F10" s="5" t="n">
        <f aca="false">F7*Assumptions!$B$5</f>
        <v>1755</v>
      </c>
      <c r="G10" s="5" t="n">
        <f aca="false">G7*Assumptions!$B$5</f>
        <v>2145</v>
      </c>
      <c r="H10" s="5" t="n">
        <f aca="false">H7*Assumptions!$B$5</f>
        <v>3510</v>
      </c>
      <c r="I10" s="5" t="n">
        <f aca="false">I7*Assumptions!$B$5</f>
        <v>6435</v>
      </c>
      <c r="J10" s="5" t="n">
        <f aca="false">J7*Assumptions!$B$5</f>
        <v>10725</v>
      </c>
      <c r="K10" s="5" t="n">
        <f aca="false">K7*Assumptions!$B$5</f>
        <v>16575</v>
      </c>
      <c r="L10" s="5" t="n">
        <f aca="false">L7*Assumptions!$B$5</f>
        <v>23985</v>
      </c>
      <c r="M10" s="5" t="n">
        <f aca="false">M7*Assumptions!$B$5</f>
        <v>33540</v>
      </c>
      <c r="N10" s="5" t="n">
        <f aca="false">SUM(B10:M10)</f>
        <v>101790</v>
      </c>
    </row>
    <row r="11" customFormat="false" ht="15" hidden="false" customHeight="false" outlineLevel="0" collapsed="false">
      <c r="A11" s="1" t="s">
        <v>65</v>
      </c>
      <c r="B11" s="6" t="n">
        <f aca="false">B9+B10</f>
        <v>295</v>
      </c>
      <c r="C11" s="6" t="n">
        <f aca="false">C9+C10</f>
        <v>885</v>
      </c>
      <c r="D11" s="6" t="n">
        <f aca="false">D9+D10</f>
        <v>1475</v>
      </c>
      <c r="E11" s="6" t="n">
        <f aca="false">E9+E10</f>
        <v>2065</v>
      </c>
      <c r="F11" s="6" t="n">
        <f aca="false">F9+F10</f>
        <v>2655</v>
      </c>
      <c r="G11" s="6" t="n">
        <f aca="false">G9+G10</f>
        <v>3245</v>
      </c>
      <c r="H11" s="6" t="n">
        <f aca="false">H9+H10</f>
        <v>5310</v>
      </c>
      <c r="I11" s="6" t="n">
        <f aca="false">I9+I10</f>
        <v>9735</v>
      </c>
      <c r="J11" s="6" t="n">
        <f aca="false">J9+J10</f>
        <v>16225</v>
      </c>
      <c r="K11" s="6" t="n">
        <f aca="false">K9+K10</f>
        <v>25075</v>
      </c>
      <c r="L11" s="6" t="n">
        <f aca="false">L9+L10</f>
        <v>36285</v>
      </c>
      <c r="M11" s="6" t="n">
        <f aca="false">M9+M10</f>
        <v>50740</v>
      </c>
      <c r="N11" s="6" t="n">
        <f aca="false">SUM(B11:M11)</f>
        <v>153990</v>
      </c>
    </row>
    <row r="12" customFormat="false" ht="15" hidden="false" customHeight="false" outlineLevel="0" collapsed="false">
      <c r="A12" s="2" t="s">
        <v>66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0" t="s">
        <v>67</v>
      </c>
      <c r="B13" s="5" t="n">
        <f aca="false">B7*(Assumptions!$B$9+Assumptions!$B$10+Assumptions!$B$11+Assumptions!$B$12+Assumptions!$B$13)</f>
        <v>39</v>
      </c>
      <c r="C13" s="5" t="n">
        <f aca="false">C7*(Assumptions!$B$9+Assumptions!$B$10+Assumptions!$B$11+Assumptions!$B$12+Assumptions!$B$13)</f>
        <v>117</v>
      </c>
      <c r="D13" s="5" t="n">
        <f aca="false">D7*(Assumptions!$B$9+Assumptions!$B$10+Assumptions!$B$11+Assumptions!$B$12+Assumptions!$B$13)</f>
        <v>195</v>
      </c>
      <c r="E13" s="5" t="n">
        <f aca="false">E7*(Assumptions!$B$9+Assumptions!$B$10+Assumptions!$B$11+Assumptions!$B$12+Assumptions!$B$13)</f>
        <v>273</v>
      </c>
      <c r="F13" s="5" t="n">
        <f aca="false">F7*(Assumptions!$B$9+Assumptions!$B$10+Assumptions!$B$11+Assumptions!$B$12+Assumptions!$B$13)</f>
        <v>351</v>
      </c>
      <c r="G13" s="5" t="n">
        <f aca="false">G7*(Assumptions!$B$9+Assumptions!$B$10+Assumptions!$B$11+Assumptions!$B$12+Assumptions!$B$13)</f>
        <v>429</v>
      </c>
      <c r="H13" s="5" t="n">
        <f aca="false">H7*(Assumptions!$B$9+Assumptions!$B$10+Assumptions!$B$11+Assumptions!$B$12+Assumptions!$B$13)</f>
        <v>702</v>
      </c>
      <c r="I13" s="5" t="n">
        <f aca="false">I7*(Assumptions!$B$9+Assumptions!$B$10+Assumptions!$B$11+Assumptions!$B$12+Assumptions!$B$13)</f>
        <v>1287</v>
      </c>
      <c r="J13" s="5" t="n">
        <f aca="false">J7*(Assumptions!$B$9+Assumptions!$B$10+Assumptions!$B$11+Assumptions!$B$12+Assumptions!$B$13)</f>
        <v>2145</v>
      </c>
      <c r="K13" s="5" t="n">
        <f aca="false">K7*(Assumptions!$B$9+Assumptions!$B$10+Assumptions!$B$11+Assumptions!$B$12+Assumptions!$B$13)</f>
        <v>3315</v>
      </c>
      <c r="L13" s="5" t="n">
        <f aca="false">L7*(Assumptions!$B$9+Assumptions!$B$10+Assumptions!$B$11+Assumptions!$B$12+Assumptions!$B$13)</f>
        <v>4797</v>
      </c>
      <c r="M13" s="5" t="n">
        <f aca="false">M7*(Assumptions!$B$9+Assumptions!$B$10+Assumptions!$B$11+Assumptions!$B$12+Assumptions!$B$13)</f>
        <v>6708</v>
      </c>
      <c r="N13" s="5" t="n">
        <f aca="false">SUM(B13:M13)</f>
        <v>20358</v>
      </c>
    </row>
    <row r="14" customFormat="false" ht="15" hidden="false" customHeight="false" outlineLevel="0" collapsed="false">
      <c r="A14" s="0" t="s">
        <v>68</v>
      </c>
      <c r="B14" s="5" t="n">
        <f aca="false">B6*Assumptions!$B$15</f>
        <v>6</v>
      </c>
      <c r="C14" s="5" t="n">
        <f aca="false">C6*Assumptions!$B$15</f>
        <v>18</v>
      </c>
      <c r="D14" s="5" t="n">
        <f aca="false">D6*Assumptions!$B$15</f>
        <v>30</v>
      </c>
      <c r="E14" s="5" t="n">
        <f aca="false">E6*Assumptions!$B$15</f>
        <v>42</v>
      </c>
      <c r="F14" s="5" t="n">
        <f aca="false">F6*Assumptions!$B$15</f>
        <v>54</v>
      </c>
      <c r="G14" s="5" t="n">
        <f aca="false">G6*Assumptions!$B$15</f>
        <v>66</v>
      </c>
      <c r="H14" s="5" t="n">
        <f aca="false">H6*Assumptions!$B$15</f>
        <v>108</v>
      </c>
      <c r="I14" s="5" t="n">
        <f aca="false">I6*Assumptions!$B$15</f>
        <v>198</v>
      </c>
      <c r="J14" s="5" t="n">
        <f aca="false">J6*Assumptions!$B$15</f>
        <v>330</v>
      </c>
      <c r="K14" s="5" t="n">
        <f aca="false">K6*Assumptions!$B$15</f>
        <v>510</v>
      </c>
      <c r="L14" s="5" t="n">
        <f aca="false">L6*Assumptions!$B$15</f>
        <v>738</v>
      </c>
      <c r="M14" s="5" t="n">
        <f aca="false">M6*Assumptions!$B$15</f>
        <v>1032</v>
      </c>
      <c r="N14" s="5" t="n">
        <f aca="false">SUM(B14:M14)</f>
        <v>3132</v>
      </c>
    </row>
    <row r="15" customFormat="false" ht="15" hidden="false" customHeight="false" outlineLevel="0" collapsed="false">
      <c r="A15" s="0" t="s">
        <v>69</v>
      </c>
      <c r="B15" s="5" t="n">
        <f aca="false">B6*Assumptions!$B$17</f>
        <v>1</v>
      </c>
      <c r="C15" s="5" t="n">
        <f aca="false">C6*Assumptions!$B$17</f>
        <v>3</v>
      </c>
      <c r="D15" s="5" t="n">
        <f aca="false">D6*Assumptions!$B$17</f>
        <v>5</v>
      </c>
      <c r="E15" s="5" t="n">
        <f aca="false">E6*Assumptions!$B$17</f>
        <v>7</v>
      </c>
      <c r="F15" s="5" t="n">
        <f aca="false">F6*Assumptions!$B$17</f>
        <v>9</v>
      </c>
      <c r="G15" s="5" t="n">
        <f aca="false">G6*Assumptions!$B$17</f>
        <v>11</v>
      </c>
      <c r="H15" s="5" t="n">
        <f aca="false">H6*Assumptions!$B$17</f>
        <v>18</v>
      </c>
      <c r="I15" s="5" t="n">
        <f aca="false">I6*Assumptions!$B$17</f>
        <v>33</v>
      </c>
      <c r="J15" s="5" t="n">
        <f aca="false">J6*Assumptions!$B$17</f>
        <v>55</v>
      </c>
      <c r="K15" s="5" t="n">
        <f aca="false">K6*Assumptions!$B$17</f>
        <v>85</v>
      </c>
      <c r="L15" s="5" t="n">
        <f aca="false">L6*Assumptions!$B$17</f>
        <v>123</v>
      </c>
      <c r="M15" s="5" t="n">
        <f aca="false">M6*Assumptions!$B$17</f>
        <v>172</v>
      </c>
      <c r="N15" s="5" t="n">
        <f aca="false">SUM(B15:M15)</f>
        <v>522</v>
      </c>
    </row>
    <row r="16" customFormat="false" ht="15" hidden="false" customHeight="false" outlineLevel="0" collapsed="false">
      <c r="A16" s="0" t="s">
        <v>70</v>
      </c>
      <c r="B16" s="5" t="n">
        <f aca="false">B13+B14+B15</f>
        <v>46</v>
      </c>
      <c r="C16" s="5" t="n">
        <f aca="false">C13+C14+C15</f>
        <v>138</v>
      </c>
      <c r="D16" s="5" t="n">
        <f aca="false">D13+D14+D15</f>
        <v>230</v>
      </c>
      <c r="E16" s="5" t="n">
        <f aca="false">E13+E14+E15</f>
        <v>322</v>
      </c>
      <c r="F16" s="5" t="n">
        <f aca="false">F13+F14+F15</f>
        <v>414</v>
      </c>
      <c r="G16" s="5" t="n">
        <f aca="false">G13+G14+G15</f>
        <v>506</v>
      </c>
      <c r="H16" s="5" t="n">
        <f aca="false">H13+H14+H15</f>
        <v>828</v>
      </c>
      <c r="I16" s="5" t="n">
        <f aca="false">I13+I14+I15</f>
        <v>1518</v>
      </c>
      <c r="J16" s="5" t="n">
        <f aca="false">J13+J14+J15</f>
        <v>2530</v>
      </c>
      <c r="K16" s="5" t="n">
        <f aca="false">K13+K14+K15</f>
        <v>3910</v>
      </c>
      <c r="L16" s="5" t="n">
        <f aca="false">L13+L14+L15</f>
        <v>5658</v>
      </c>
      <c r="M16" s="5" t="n">
        <f aca="false">M13+M14+M15</f>
        <v>7912</v>
      </c>
      <c r="N16" s="5" t="n">
        <f aca="false">SUM(B16:M16)</f>
        <v>24012</v>
      </c>
    </row>
    <row r="17" customFormat="false" ht="15" hidden="false" customHeight="false" outlineLevel="0" collapsed="false">
      <c r="A17" s="1" t="s">
        <v>71</v>
      </c>
      <c r="B17" s="6" t="n">
        <f aca="false">B11-B16</f>
        <v>249</v>
      </c>
      <c r="C17" s="6" t="n">
        <f aca="false">C11-C16</f>
        <v>747</v>
      </c>
      <c r="D17" s="6" t="n">
        <f aca="false">D11-D16</f>
        <v>1245</v>
      </c>
      <c r="E17" s="6" t="n">
        <f aca="false">E11-E16</f>
        <v>1743</v>
      </c>
      <c r="F17" s="6" t="n">
        <f aca="false">F11-F16</f>
        <v>2241</v>
      </c>
      <c r="G17" s="6" t="n">
        <f aca="false">G11-G16</f>
        <v>2739</v>
      </c>
      <c r="H17" s="6" t="n">
        <f aca="false">H11-H16</f>
        <v>4482</v>
      </c>
      <c r="I17" s="6" t="n">
        <f aca="false">I11-I16</f>
        <v>8217</v>
      </c>
      <c r="J17" s="6" t="n">
        <f aca="false">J11-J16</f>
        <v>13695</v>
      </c>
      <c r="K17" s="6" t="n">
        <f aca="false">K11-K16</f>
        <v>21165</v>
      </c>
      <c r="L17" s="6" t="n">
        <f aca="false">L11-L16</f>
        <v>30627</v>
      </c>
      <c r="M17" s="6" t="n">
        <f aca="false">M11-M16</f>
        <v>42828</v>
      </c>
      <c r="N17" s="6" t="n">
        <f aca="false">SUM(B17:M17)</f>
        <v>129978</v>
      </c>
    </row>
    <row r="18" customFormat="false" ht="15" hidden="false" customHeight="false" outlineLevel="0" collapsed="false">
      <c r="A18" s="0" t="s">
        <v>72</v>
      </c>
      <c r="B18" s="7" t="n">
        <f aca="false">B17/B11</f>
        <v>0.84406779661017</v>
      </c>
      <c r="C18" s="7" t="n">
        <f aca="false">C17/C11</f>
        <v>0.84406779661017</v>
      </c>
      <c r="D18" s="7" t="n">
        <f aca="false">D17/D11</f>
        <v>0.84406779661017</v>
      </c>
      <c r="E18" s="7" t="n">
        <f aca="false">E17/E11</f>
        <v>0.84406779661017</v>
      </c>
      <c r="F18" s="7" t="n">
        <f aca="false">F17/F11</f>
        <v>0.84406779661017</v>
      </c>
      <c r="G18" s="7" t="n">
        <f aca="false">G17/G11</f>
        <v>0.84406779661017</v>
      </c>
      <c r="H18" s="7" t="n">
        <f aca="false">H17/H11</f>
        <v>0.84406779661017</v>
      </c>
      <c r="I18" s="7" t="n">
        <f aca="false">I17/I11</f>
        <v>0.84406779661017</v>
      </c>
      <c r="J18" s="7" t="n">
        <f aca="false">J17/J11</f>
        <v>0.84406779661017</v>
      </c>
      <c r="K18" s="7" t="n">
        <f aca="false">K17/K11</f>
        <v>0.84406779661017</v>
      </c>
      <c r="L18" s="7" t="n">
        <f aca="false">L17/L11</f>
        <v>0.84406779661017</v>
      </c>
      <c r="M18" s="7" t="n">
        <f aca="false">M17/M11</f>
        <v>0.84406779661017</v>
      </c>
      <c r="N18" s="7" t="n">
        <f aca="false">N17/N11</f>
        <v>0.84406779661017</v>
      </c>
    </row>
    <row r="19" customFormat="false" ht="15" hidden="false" customHeight="false" outlineLevel="0" collapsed="false">
      <c r="A19" s="2" t="s">
        <v>73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</row>
    <row r="20" customFormat="false" ht="15" hidden="false" customHeight="false" outlineLevel="0" collapsed="false">
      <c r="A20" s="0" t="s">
        <v>74</v>
      </c>
      <c r="B20" s="5" t="n">
        <f aca="false">B3*(Assumptions!$B$19+Assumptions!$B$20)</f>
        <v>900</v>
      </c>
      <c r="C20" s="5" t="n">
        <f aca="false">C3*(Assumptions!$B$19+Assumptions!$B$20)</f>
        <v>900</v>
      </c>
      <c r="D20" s="5" t="n">
        <f aca="false">D3*(Assumptions!$B$19+Assumptions!$B$20)</f>
        <v>900</v>
      </c>
      <c r="E20" s="5" t="n">
        <f aca="false">E3*(Assumptions!$B$19+Assumptions!$B$20)</f>
        <v>900</v>
      </c>
      <c r="F20" s="5" t="n">
        <f aca="false">F3*(Assumptions!$B$19+Assumptions!$B$20)</f>
        <v>900</v>
      </c>
      <c r="G20" s="5" t="n">
        <f aca="false">G3*(Assumptions!$B$19+Assumptions!$B$20)</f>
        <v>900</v>
      </c>
      <c r="H20" s="5" t="n">
        <f aca="false">H3*(Assumptions!$B$19+Assumptions!$B$20)</f>
        <v>5400</v>
      </c>
      <c r="I20" s="5" t="n">
        <f aca="false">I3*(Assumptions!$B$19+Assumptions!$B$20)</f>
        <v>8100</v>
      </c>
      <c r="J20" s="5" t="n">
        <f aca="false">J3*(Assumptions!$B$19+Assumptions!$B$20)</f>
        <v>11700</v>
      </c>
      <c r="K20" s="5" t="n">
        <f aca="false">K3*(Assumptions!$B$19+Assumptions!$B$20)</f>
        <v>15300</v>
      </c>
      <c r="L20" s="5" t="n">
        <f aca="false">L3*(Assumptions!$B$19+Assumptions!$B$20)</f>
        <v>18900</v>
      </c>
      <c r="M20" s="5" t="n">
        <f aca="false">M3*(Assumptions!$B$19+Assumptions!$B$20)</f>
        <v>25200</v>
      </c>
      <c r="N20" s="5" t="n">
        <f aca="false">SUM(B20:M20)</f>
        <v>90000</v>
      </c>
    </row>
    <row r="21" customFormat="false" ht="15" hidden="false" customHeight="false" outlineLevel="0" collapsed="false">
      <c r="A21" s="0" t="s">
        <v>24</v>
      </c>
      <c r="B21" s="5" t="n">
        <f aca="false">B6*Assumptions!$B$16</f>
        <v>25</v>
      </c>
      <c r="C21" s="5" t="n">
        <f aca="false">C6*Assumptions!$B$16</f>
        <v>75</v>
      </c>
      <c r="D21" s="5" t="n">
        <f aca="false">D6*Assumptions!$B$16</f>
        <v>125</v>
      </c>
      <c r="E21" s="5" t="n">
        <f aca="false">E6*Assumptions!$B$16</f>
        <v>175</v>
      </c>
      <c r="F21" s="5" t="n">
        <f aca="false">F6*Assumptions!$B$16</f>
        <v>225</v>
      </c>
      <c r="G21" s="5" t="n">
        <f aca="false">G6*Assumptions!$B$16</f>
        <v>275</v>
      </c>
      <c r="H21" s="5" t="n">
        <f aca="false">H6*Assumptions!$B$16</f>
        <v>450</v>
      </c>
      <c r="I21" s="5" t="n">
        <f aca="false">I6*Assumptions!$B$16</f>
        <v>825</v>
      </c>
      <c r="J21" s="5" t="n">
        <f aca="false">J6*Assumptions!$B$16</f>
        <v>1375</v>
      </c>
      <c r="K21" s="5" t="n">
        <f aca="false">K6*Assumptions!$B$16</f>
        <v>2125</v>
      </c>
      <c r="L21" s="5" t="n">
        <f aca="false">L6*Assumptions!$B$16</f>
        <v>3075</v>
      </c>
      <c r="M21" s="5" t="n">
        <f aca="false">M6*Assumptions!$B$16</f>
        <v>4300</v>
      </c>
      <c r="N21" s="5" t="n">
        <f aca="false">SUM(B21:M21)</f>
        <v>13050</v>
      </c>
    </row>
    <row r="22" customFormat="false" ht="15" hidden="false" customHeight="false" outlineLevel="0" collapsed="false">
      <c r="A22" s="0" t="s">
        <v>75</v>
      </c>
      <c r="B22" s="5" t="n">
        <f aca="false">Assumptions!$B$21</f>
        <v>150</v>
      </c>
      <c r="C22" s="5" t="n">
        <f aca="false">Assumptions!$B$21</f>
        <v>150</v>
      </c>
      <c r="D22" s="5" t="n">
        <f aca="false">Assumptions!$B$21</f>
        <v>150</v>
      </c>
      <c r="E22" s="5" t="n">
        <f aca="false">Assumptions!$B$21</f>
        <v>150</v>
      </c>
      <c r="F22" s="5" t="n">
        <f aca="false">Assumptions!$B$21</f>
        <v>150</v>
      </c>
      <c r="G22" s="5" t="n">
        <f aca="false">Assumptions!$B$21</f>
        <v>150</v>
      </c>
      <c r="H22" s="5" t="n">
        <f aca="false">Assumptions!$B$21</f>
        <v>150</v>
      </c>
      <c r="I22" s="5" t="n">
        <f aca="false">Assumptions!$B$21</f>
        <v>150</v>
      </c>
      <c r="J22" s="5" t="n">
        <f aca="false">Assumptions!$B$21</f>
        <v>150</v>
      </c>
      <c r="K22" s="5" t="n">
        <f aca="false">Assumptions!$B$21</f>
        <v>150</v>
      </c>
      <c r="L22" s="5" t="n">
        <f aca="false">Assumptions!$B$21</f>
        <v>150</v>
      </c>
      <c r="M22" s="5" t="n">
        <f aca="false">Assumptions!$B$21</f>
        <v>150</v>
      </c>
      <c r="N22" s="5" t="n">
        <f aca="false">SUM(B22:M22)</f>
        <v>1800</v>
      </c>
    </row>
    <row r="23" customFormat="false" ht="15" hidden="false" customHeight="false" outlineLevel="0" collapsed="false">
      <c r="A23" s="0" t="s">
        <v>76</v>
      </c>
      <c r="B23" s="5" t="n">
        <f aca="false">Assumptions!$B$22</f>
        <v>500</v>
      </c>
      <c r="C23" s="5" t="n">
        <f aca="false">Assumptions!$B$22</f>
        <v>500</v>
      </c>
      <c r="D23" s="5" t="n">
        <f aca="false">Assumptions!$B$22</f>
        <v>500</v>
      </c>
      <c r="E23" s="5" t="n">
        <f aca="false">Assumptions!$B$22</f>
        <v>500</v>
      </c>
      <c r="F23" s="5" t="n">
        <f aca="false">Assumptions!$B$22</f>
        <v>500</v>
      </c>
      <c r="G23" s="5" t="n">
        <f aca="false">Assumptions!$B$22</f>
        <v>500</v>
      </c>
      <c r="H23" s="5" t="n">
        <f aca="false">Assumptions!$B$22</f>
        <v>500</v>
      </c>
      <c r="I23" s="5" t="n">
        <f aca="false">Assumptions!$B$22</f>
        <v>500</v>
      </c>
      <c r="J23" s="5" t="n">
        <f aca="false">Assumptions!$B$22</f>
        <v>500</v>
      </c>
      <c r="K23" s="5" t="n">
        <f aca="false">Assumptions!$B$22</f>
        <v>500</v>
      </c>
      <c r="L23" s="5" t="n">
        <f aca="false">Assumptions!$B$22</f>
        <v>500</v>
      </c>
      <c r="M23" s="5" t="n">
        <f aca="false">Assumptions!$B$22</f>
        <v>500</v>
      </c>
      <c r="N23" s="5" t="n">
        <f aca="false">SUM(B23:M23)</f>
        <v>6000</v>
      </c>
    </row>
    <row r="24" customFormat="false" ht="15" hidden="false" customHeight="false" outlineLevel="0" collapsed="false">
      <c r="A24" s="0" t="s">
        <v>77</v>
      </c>
      <c r="B24" s="5" t="n">
        <f aca="false">Assumptions!$B$23</f>
        <v>1200</v>
      </c>
      <c r="C24" s="5" t="n">
        <f aca="false">Assumptions!$B$23</f>
        <v>1200</v>
      </c>
      <c r="D24" s="5" t="n">
        <f aca="false">Assumptions!$B$23</f>
        <v>1200</v>
      </c>
      <c r="E24" s="5" t="n">
        <f aca="false">Assumptions!$B$23</f>
        <v>1200</v>
      </c>
      <c r="F24" s="5" t="n">
        <f aca="false">Assumptions!$B$23</f>
        <v>1200</v>
      </c>
      <c r="G24" s="5" t="n">
        <f aca="false">Assumptions!$B$23</f>
        <v>1200</v>
      </c>
      <c r="H24" s="5" t="n">
        <f aca="false">Assumptions!$B$23</f>
        <v>1200</v>
      </c>
      <c r="I24" s="5" t="n">
        <f aca="false">Assumptions!$B$23</f>
        <v>1200</v>
      </c>
      <c r="J24" s="5" t="n">
        <f aca="false">Assumptions!$B$23</f>
        <v>1200</v>
      </c>
      <c r="K24" s="5" t="n">
        <f aca="false">Assumptions!$B$23</f>
        <v>1200</v>
      </c>
      <c r="L24" s="5" t="n">
        <f aca="false">Assumptions!$B$23</f>
        <v>1200</v>
      </c>
      <c r="M24" s="5" t="n">
        <f aca="false">Assumptions!$B$23</f>
        <v>1200</v>
      </c>
      <c r="N24" s="5" t="n">
        <f aca="false">SUM(B24:M24)</f>
        <v>14400</v>
      </c>
    </row>
    <row r="25" customFormat="false" ht="15" hidden="false" customHeight="false" outlineLevel="0" collapsed="false">
      <c r="A25" s="0" t="s">
        <v>78</v>
      </c>
      <c r="B25" s="5" t="n">
        <f aca="false">Assumptions!$B$24</f>
        <v>7500</v>
      </c>
      <c r="C25" s="5" t="n">
        <f aca="false">Assumptions!$B$24</f>
        <v>7500</v>
      </c>
      <c r="D25" s="5" t="n">
        <f aca="false">Assumptions!$B$24</f>
        <v>7500</v>
      </c>
      <c r="E25" s="5" t="n">
        <f aca="false">Assumptions!$B$24</f>
        <v>7500</v>
      </c>
      <c r="F25" s="5" t="n">
        <f aca="false">Assumptions!$B$24</f>
        <v>7500</v>
      </c>
      <c r="G25" s="5" t="n">
        <f aca="false">Assumptions!$B$24</f>
        <v>7500</v>
      </c>
      <c r="H25" s="5" t="n">
        <f aca="false">Assumptions!$B$24</f>
        <v>7500</v>
      </c>
      <c r="I25" s="5" t="n">
        <f aca="false">Assumptions!$B$24</f>
        <v>7500</v>
      </c>
      <c r="J25" s="5" t="n">
        <f aca="false">Assumptions!$B$24</f>
        <v>7500</v>
      </c>
      <c r="K25" s="5" t="n">
        <f aca="false">Assumptions!$B$24</f>
        <v>7500</v>
      </c>
      <c r="L25" s="5" t="n">
        <f aca="false">Assumptions!$B$24</f>
        <v>7500</v>
      </c>
      <c r="M25" s="5" t="n">
        <f aca="false">Assumptions!$B$24</f>
        <v>7500</v>
      </c>
      <c r="N25" s="5" t="n">
        <f aca="false">SUM(B25:M25)</f>
        <v>90000</v>
      </c>
    </row>
    <row r="26" customFormat="false" ht="15" hidden="false" customHeight="false" outlineLevel="0" collapsed="false">
      <c r="A26" s="1" t="s">
        <v>79</v>
      </c>
      <c r="B26" s="6" t="n">
        <f aca="false">SUM(B20:B25)</f>
        <v>10275</v>
      </c>
      <c r="C26" s="6" t="n">
        <f aca="false">SUM(C20:C25)</f>
        <v>10325</v>
      </c>
      <c r="D26" s="6" t="n">
        <f aca="false">SUM(D20:D25)</f>
        <v>10375</v>
      </c>
      <c r="E26" s="6" t="n">
        <f aca="false">SUM(E20:E25)</f>
        <v>10425</v>
      </c>
      <c r="F26" s="6" t="n">
        <f aca="false">SUM(F20:F25)</f>
        <v>10475</v>
      </c>
      <c r="G26" s="6" t="n">
        <f aca="false">SUM(G20:G25)</f>
        <v>10525</v>
      </c>
      <c r="H26" s="6" t="n">
        <f aca="false">SUM(H20:H25)</f>
        <v>15200</v>
      </c>
      <c r="I26" s="6" t="n">
        <f aca="false">SUM(I20:I25)</f>
        <v>18275</v>
      </c>
      <c r="J26" s="6" t="n">
        <f aca="false">SUM(J20:J25)</f>
        <v>22425</v>
      </c>
      <c r="K26" s="6" t="n">
        <f aca="false">SUM(K20:K25)</f>
        <v>26775</v>
      </c>
      <c r="L26" s="6" t="n">
        <f aca="false">SUM(L20:L25)</f>
        <v>31325</v>
      </c>
      <c r="M26" s="6" t="n">
        <f aca="false">SUM(M20:M25)</f>
        <v>38850</v>
      </c>
      <c r="N26" s="6" t="n">
        <f aca="false">SUM(B26:M26)</f>
        <v>215250</v>
      </c>
    </row>
    <row r="27" customFormat="false" ht="15" hidden="false" customHeight="false" outlineLevel="0" collapsed="false">
      <c r="A27" s="1" t="s">
        <v>80</v>
      </c>
      <c r="B27" s="6" t="n">
        <f aca="false">B17-B26</f>
        <v>-10026</v>
      </c>
      <c r="C27" s="6" t="n">
        <f aca="false">C17-C26</f>
        <v>-9578</v>
      </c>
      <c r="D27" s="6" t="n">
        <f aca="false">D17-D26</f>
        <v>-9130</v>
      </c>
      <c r="E27" s="6" t="n">
        <f aca="false">E17-E26</f>
        <v>-8682</v>
      </c>
      <c r="F27" s="6" t="n">
        <f aca="false">F17-F26</f>
        <v>-8234</v>
      </c>
      <c r="G27" s="6" t="n">
        <f aca="false">G17-G26</f>
        <v>-7786</v>
      </c>
      <c r="H27" s="6" t="n">
        <f aca="false">H17-H26</f>
        <v>-10718</v>
      </c>
      <c r="I27" s="6" t="n">
        <f aca="false">I17-I26</f>
        <v>-10058</v>
      </c>
      <c r="J27" s="6" t="n">
        <f aca="false">J17-J26</f>
        <v>-8730</v>
      </c>
      <c r="K27" s="6" t="n">
        <f aca="false">K17-K26</f>
        <v>-5610</v>
      </c>
      <c r="L27" s="6" t="n">
        <f aca="false">L17-L26</f>
        <v>-698</v>
      </c>
      <c r="M27" s="6" t="n">
        <f aca="false">M17-M26</f>
        <v>3978</v>
      </c>
      <c r="N27" s="6" t="n">
        <f aca="false">SUM(B27:M27)</f>
        <v>-85272</v>
      </c>
    </row>
    <row r="28" customFormat="false" ht="15" hidden="false" customHeight="false" outlineLevel="0" collapsed="false">
      <c r="A28" s="0" t="s">
        <v>81</v>
      </c>
      <c r="B28" s="5" t="n">
        <f aca="false">MAX(0,Assumptions!$B$25*MAX(0,SUM($B27:B27))-0)</f>
        <v>0</v>
      </c>
      <c r="C28" s="5" t="n">
        <f aca="false">MAX(0,Assumptions!$B$25*MAX(0,SUM($B27:C27))-SUM($B28:B28))</f>
        <v>0</v>
      </c>
      <c r="D28" s="5" t="n">
        <f aca="false">MAX(0,Assumptions!$B$25*MAX(0,SUM($B27:D27))-SUM($B28:C28))</f>
        <v>0</v>
      </c>
      <c r="E28" s="5" t="n">
        <f aca="false">MAX(0,Assumptions!$B$25*MAX(0,SUM($B27:E27))-SUM($B28:D28))</f>
        <v>0</v>
      </c>
      <c r="F28" s="5" t="n">
        <f aca="false">MAX(0,Assumptions!$B$25*MAX(0,SUM($B27:F27))-SUM($B28:E28))</f>
        <v>0</v>
      </c>
      <c r="G28" s="5" t="n">
        <f aca="false">MAX(0,Assumptions!$B$25*MAX(0,SUM($B27:G27))-SUM($B28:F28))</f>
        <v>0</v>
      </c>
      <c r="H28" s="5" t="n">
        <f aca="false">MAX(0,Assumptions!$B$25*MAX(0,SUM($B27:H27))-SUM($B28:G28))</f>
        <v>0</v>
      </c>
      <c r="I28" s="5" t="n">
        <f aca="false">MAX(0,Assumptions!$B$25*MAX(0,SUM($B27:I27))-SUM($B28:H28))</f>
        <v>0</v>
      </c>
      <c r="J28" s="5" t="n">
        <f aca="false">MAX(0,Assumptions!$B$25*MAX(0,SUM($B27:J27))-SUM($B28:I28))</f>
        <v>0</v>
      </c>
      <c r="K28" s="5" t="n">
        <f aca="false">MAX(0,Assumptions!$B$25*MAX(0,SUM($B27:K27))-SUM($B28:J28))</f>
        <v>0</v>
      </c>
      <c r="L28" s="5" t="n">
        <f aca="false">MAX(0,Assumptions!$B$25*MAX(0,SUM($B27:L27))-SUM($B28:K28))</f>
        <v>0</v>
      </c>
      <c r="M28" s="5" t="n">
        <f aca="false">MAX(0,Assumptions!$B$25*MAX(0,SUM($B27:M27))-SUM($B28:L28))</f>
        <v>0</v>
      </c>
      <c r="N28" s="5" t="n">
        <f aca="false">SUM(B28:M28)</f>
        <v>0</v>
      </c>
    </row>
    <row r="29" customFormat="false" ht="15" hidden="false" customHeight="false" outlineLevel="0" collapsed="false">
      <c r="A29" s="1" t="s">
        <v>82</v>
      </c>
      <c r="B29" s="6" t="n">
        <f aca="false">B27-B28</f>
        <v>-10026</v>
      </c>
      <c r="C29" s="6" t="n">
        <f aca="false">C27-C28</f>
        <v>-9578</v>
      </c>
      <c r="D29" s="6" t="n">
        <f aca="false">D27-D28</f>
        <v>-9130</v>
      </c>
      <c r="E29" s="6" t="n">
        <f aca="false">E27-E28</f>
        <v>-8682</v>
      </c>
      <c r="F29" s="6" t="n">
        <f aca="false">F27-F28</f>
        <v>-8234</v>
      </c>
      <c r="G29" s="6" t="n">
        <f aca="false">G27-G28</f>
        <v>-7786</v>
      </c>
      <c r="H29" s="6" t="n">
        <f aca="false">H27-H28</f>
        <v>-10718</v>
      </c>
      <c r="I29" s="6" t="n">
        <f aca="false">I27-I28</f>
        <v>-10058</v>
      </c>
      <c r="J29" s="6" t="n">
        <f aca="false">J27-J28</f>
        <v>-8730</v>
      </c>
      <c r="K29" s="6" t="n">
        <f aca="false">K27-K28</f>
        <v>-5610</v>
      </c>
      <c r="L29" s="6" t="n">
        <f aca="false">L27-L28</f>
        <v>-698</v>
      </c>
      <c r="M29" s="6" t="n">
        <f aca="false">M27-M28</f>
        <v>3978</v>
      </c>
      <c r="N29" s="6" t="n">
        <f aca="false">SUM(B29:M29)</f>
        <v>-85272</v>
      </c>
    </row>
    <row r="30" customFormat="false" ht="15" hidden="false" customHeight="false" outlineLevel="0" collapsed="false">
      <c r="A30" s="0" t="s">
        <v>83</v>
      </c>
      <c r="B30" s="5" t="n">
        <f aca="false">SUM($B29:B29)</f>
        <v>-10026</v>
      </c>
      <c r="C30" s="5" t="n">
        <f aca="false">SUM($B29:C29)</f>
        <v>-19604</v>
      </c>
      <c r="D30" s="5" t="n">
        <f aca="false">SUM($B29:D29)</f>
        <v>-28734</v>
      </c>
      <c r="E30" s="5" t="n">
        <f aca="false">SUM($B29:E29)</f>
        <v>-37416</v>
      </c>
      <c r="F30" s="5" t="n">
        <f aca="false">SUM($B29:F29)</f>
        <v>-45650</v>
      </c>
      <c r="G30" s="5" t="n">
        <f aca="false">SUM($B29:G29)</f>
        <v>-53436</v>
      </c>
      <c r="H30" s="5" t="n">
        <f aca="false">SUM($B29:H29)</f>
        <v>-64154</v>
      </c>
      <c r="I30" s="5" t="n">
        <f aca="false">SUM($B29:I29)</f>
        <v>-74212</v>
      </c>
      <c r="J30" s="5" t="n">
        <f aca="false">SUM($B29:J29)</f>
        <v>-82942</v>
      </c>
      <c r="K30" s="5" t="n">
        <f aca="false">SUM($B29:K29)</f>
        <v>-88552</v>
      </c>
      <c r="L30" s="5" t="n">
        <f aca="false">SUM($B29:L29)</f>
        <v>-89250</v>
      </c>
      <c r="M30" s="5" t="n">
        <f aca="false">SUM($B29:M29)</f>
        <v>-85272</v>
      </c>
      <c r="N30" s="5" t="n">
        <f aca="false">M30</f>
        <v>-85272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2026-10-08T01:12:16Z</dcterms:created>
  <dc:creator>openpyxl</dc:creator>
  <dc:description/>
  <dc:language>en-US</dc:language>
  <cp:lastModifiedBy/>
  <dcterms:modified xsi:type="dcterms:W3CDTF">2026-10-08T01:12:16Z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